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waradhya\Downloads\"/>
    </mc:Choice>
  </mc:AlternateContent>
  <xr:revisionPtr revIDLastSave="0" documentId="13_ncr:1_{0386145A-6294-4170-BA83-2DA2143E19E3}" xr6:coauthVersionLast="47" xr6:coauthVersionMax="47" xr10:uidLastSave="{00000000-0000-0000-0000-000000000000}"/>
  <bookViews>
    <workbookView xWindow="-108" yWindow="-108" windowWidth="23256" windowHeight="12456" xr2:uid="{BB3B7ECE-A15A-45C6-A2F1-DCDF6DA420B4}"/>
  </bookViews>
  <sheets>
    <sheet name="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1" l="1"/>
  <c r="D49" i="1"/>
  <c r="E49" i="1"/>
  <c r="F49" i="1"/>
  <c r="G49" i="1"/>
  <c r="H49" i="1"/>
  <c r="I49" i="1"/>
  <c r="J49" i="1"/>
  <c r="K49" i="1"/>
  <c r="L49" i="1"/>
  <c r="M49" i="1"/>
  <c r="N49" i="1"/>
  <c r="E48" i="1"/>
  <c r="F48" i="1"/>
  <c r="G48" i="1"/>
  <c r="H48" i="1"/>
  <c r="I48" i="1"/>
  <c r="J48" i="1"/>
  <c r="K48" i="1"/>
  <c r="L48" i="1"/>
  <c r="M48" i="1"/>
  <c r="N48" i="1"/>
  <c r="F47" i="1"/>
  <c r="G47" i="1"/>
  <c r="H47" i="1"/>
  <c r="I47" i="1"/>
  <c r="J47" i="1"/>
  <c r="K47" i="1"/>
  <c r="L47" i="1"/>
  <c r="M47" i="1"/>
  <c r="N47" i="1"/>
  <c r="F46" i="1"/>
  <c r="G46" i="1"/>
  <c r="H46" i="1"/>
  <c r="I46" i="1"/>
  <c r="J46" i="1"/>
  <c r="K46" i="1"/>
  <c r="L46" i="1"/>
  <c r="M46" i="1"/>
  <c r="N46" i="1"/>
  <c r="F45" i="1"/>
  <c r="G45" i="1"/>
  <c r="H45" i="1"/>
  <c r="I45" i="1"/>
  <c r="J45" i="1"/>
  <c r="K45" i="1"/>
  <c r="L45" i="1"/>
  <c r="M45" i="1"/>
  <c r="N45" i="1"/>
  <c r="H44" i="1"/>
  <c r="I44" i="1"/>
  <c r="J44" i="1"/>
  <c r="K44" i="1"/>
  <c r="L44" i="1"/>
  <c r="M44" i="1"/>
  <c r="N44" i="1"/>
  <c r="I43" i="1"/>
  <c r="J43" i="1"/>
  <c r="K43" i="1"/>
  <c r="L43" i="1"/>
  <c r="M43" i="1"/>
  <c r="N43" i="1"/>
  <c r="K42" i="1"/>
  <c r="L42" i="1"/>
  <c r="M42" i="1"/>
  <c r="N42" i="1"/>
  <c r="J41" i="1"/>
  <c r="K41" i="1"/>
  <c r="L41" i="1"/>
  <c r="M41" i="1"/>
  <c r="N41" i="1"/>
  <c r="K40" i="1"/>
  <c r="L40" i="1"/>
  <c r="M40" i="1"/>
  <c r="N40" i="1"/>
  <c r="M39" i="1"/>
  <c r="N39" i="1"/>
  <c r="N38" i="1"/>
  <c r="L39" i="1"/>
  <c r="N19" i="1"/>
  <c r="M38" i="1"/>
  <c r="L38" i="1"/>
  <c r="K39" i="1"/>
  <c r="K38" i="1"/>
  <c r="J39" i="1"/>
  <c r="J40" i="1"/>
  <c r="J38" i="1"/>
  <c r="N20" i="1"/>
  <c r="N21" i="1"/>
  <c r="N22" i="1"/>
  <c r="N23" i="1"/>
  <c r="N24" i="1"/>
  <c r="N25" i="1"/>
  <c r="N26" i="1"/>
  <c r="N27" i="1"/>
  <c r="N28" i="1"/>
  <c r="N29" i="1"/>
  <c r="N30" i="1"/>
  <c r="M20" i="1"/>
  <c r="M21" i="1"/>
  <c r="M22" i="1"/>
  <c r="M23" i="1"/>
  <c r="M24" i="1"/>
  <c r="M25" i="1"/>
  <c r="M26" i="1"/>
  <c r="M27" i="1"/>
  <c r="M28" i="1"/>
  <c r="M29" i="1"/>
  <c r="M30" i="1"/>
  <c r="M19" i="1"/>
  <c r="L20" i="1"/>
  <c r="L21" i="1"/>
  <c r="L22" i="1"/>
  <c r="L23" i="1"/>
  <c r="L24" i="1"/>
  <c r="L25" i="1"/>
  <c r="L26" i="1"/>
  <c r="L27" i="1"/>
  <c r="L28" i="1"/>
  <c r="L29" i="1"/>
  <c r="L30" i="1"/>
  <c r="L19" i="1"/>
  <c r="K20" i="1"/>
  <c r="K21" i="1"/>
  <c r="K22" i="1"/>
  <c r="K23" i="1"/>
  <c r="K24" i="1"/>
  <c r="K25" i="1"/>
  <c r="K26" i="1"/>
  <c r="K27" i="1"/>
  <c r="K28" i="1"/>
  <c r="K29" i="1"/>
  <c r="K30" i="1"/>
  <c r="K19" i="1"/>
  <c r="J20" i="1"/>
  <c r="J21" i="1"/>
  <c r="J22" i="1"/>
  <c r="J23" i="1"/>
  <c r="J24" i="1"/>
  <c r="J25" i="1"/>
  <c r="J26" i="1"/>
  <c r="J27" i="1"/>
  <c r="J28" i="1"/>
  <c r="J29" i="1"/>
  <c r="J30" i="1"/>
  <c r="J19" i="1"/>
  <c r="D39" i="1"/>
  <c r="D40" i="1"/>
  <c r="D41" i="1"/>
  <c r="D42" i="1"/>
  <c r="D43" i="1"/>
  <c r="D44" i="1"/>
  <c r="D45" i="1"/>
  <c r="D46" i="1"/>
  <c r="D47" i="1"/>
  <c r="D48" i="1"/>
  <c r="D38" i="1"/>
  <c r="C38" i="1"/>
  <c r="D20" i="1"/>
  <c r="D21" i="1"/>
  <c r="D22" i="1"/>
  <c r="D23" i="1"/>
  <c r="D24" i="1"/>
  <c r="D25" i="1"/>
  <c r="D26" i="1"/>
  <c r="D27" i="1"/>
  <c r="D28" i="1"/>
  <c r="D29" i="1"/>
  <c r="D30" i="1"/>
  <c r="D19" i="1"/>
  <c r="E38" i="1"/>
  <c r="C39" i="1"/>
  <c r="E39" i="1" s="1"/>
  <c r="C19" i="1"/>
  <c r="I19" i="1" s="1"/>
  <c r="H19" i="1"/>
  <c r="G19" i="1"/>
  <c r="F19" i="1"/>
  <c r="E19" i="1"/>
  <c r="C20" i="1"/>
  <c r="I20" i="1" s="1"/>
  <c r="C40" i="1" l="1"/>
  <c r="I39" i="1"/>
  <c r="F39" i="1"/>
  <c r="H39" i="1"/>
  <c r="G39" i="1"/>
  <c r="G38" i="1"/>
  <c r="F38" i="1"/>
  <c r="H38" i="1"/>
  <c r="I38" i="1"/>
  <c r="F20" i="1"/>
  <c r="H20" i="1"/>
  <c r="E20" i="1"/>
  <c r="C21" i="1"/>
  <c r="G20" i="1"/>
  <c r="C41" i="1" l="1"/>
  <c r="H40" i="1"/>
  <c r="F40" i="1"/>
  <c r="E40" i="1"/>
  <c r="I40" i="1"/>
  <c r="G40" i="1"/>
  <c r="E21" i="1"/>
  <c r="I21" i="1"/>
  <c r="G21" i="1"/>
  <c r="C22" i="1"/>
  <c r="H21" i="1"/>
  <c r="F21" i="1"/>
  <c r="E41" i="1" l="1"/>
  <c r="H41" i="1"/>
  <c r="G41" i="1"/>
  <c r="F41" i="1"/>
  <c r="C42" i="1"/>
  <c r="I41" i="1"/>
  <c r="E22" i="1"/>
  <c r="I22" i="1"/>
  <c r="G22" i="1"/>
  <c r="C23" i="1"/>
  <c r="H22" i="1"/>
  <c r="F22" i="1"/>
  <c r="E42" i="1" l="1"/>
  <c r="F42" i="1"/>
  <c r="C43" i="1"/>
  <c r="H42" i="1"/>
  <c r="G42" i="1"/>
  <c r="I42" i="1"/>
  <c r="C24" i="1"/>
  <c r="H23" i="1"/>
  <c r="F23" i="1"/>
  <c r="E23" i="1"/>
  <c r="I23" i="1"/>
  <c r="G23" i="1"/>
  <c r="G43" i="1" l="1"/>
  <c r="F43" i="1"/>
  <c r="E43" i="1"/>
  <c r="C44" i="1"/>
  <c r="H43" i="1"/>
  <c r="C25" i="1"/>
  <c r="H24" i="1"/>
  <c r="F24" i="1"/>
  <c r="I24" i="1"/>
  <c r="E24" i="1"/>
  <c r="G24" i="1"/>
  <c r="G44" i="1" l="1"/>
  <c r="F44" i="1"/>
  <c r="C45" i="1"/>
  <c r="E44" i="1"/>
  <c r="C26" i="1"/>
  <c r="E25" i="1"/>
  <c r="H25" i="1"/>
  <c r="F25" i="1"/>
  <c r="I25" i="1"/>
  <c r="G25" i="1"/>
  <c r="C46" i="1" l="1"/>
  <c r="E45" i="1"/>
  <c r="C27" i="1"/>
  <c r="E26" i="1"/>
  <c r="H26" i="1"/>
  <c r="F26" i="1"/>
  <c r="I26" i="1"/>
  <c r="G26" i="1"/>
  <c r="C47" i="1" l="1"/>
  <c r="E46" i="1"/>
  <c r="C28" i="1"/>
  <c r="I27" i="1"/>
  <c r="G27" i="1"/>
  <c r="H27" i="1"/>
  <c r="F27" i="1"/>
  <c r="E27" i="1"/>
  <c r="C48" i="1" l="1"/>
  <c r="E47" i="1"/>
  <c r="C29" i="1"/>
  <c r="E28" i="1"/>
  <c r="H28" i="1"/>
  <c r="I28" i="1"/>
  <c r="G28" i="1"/>
  <c r="F28" i="1"/>
  <c r="C49" i="1" l="1"/>
  <c r="C30" i="1"/>
  <c r="E29" i="1"/>
  <c r="I29" i="1"/>
  <c r="G29" i="1"/>
  <c r="H29" i="1"/>
  <c r="F29" i="1"/>
  <c r="E30" i="1" l="1"/>
  <c r="I30" i="1"/>
  <c r="G30" i="1"/>
  <c r="H30" i="1"/>
  <c r="F30" i="1"/>
</calcChain>
</file>

<file path=xl/sharedStrings.xml><?xml version="1.0" encoding="utf-8"?>
<sst xmlns="http://schemas.openxmlformats.org/spreadsheetml/2006/main" count="53" uniqueCount="29">
  <si>
    <t>The Inputs</t>
  </si>
  <si>
    <t>ARPU</t>
  </si>
  <si>
    <t>$50.00</t>
  </si>
  <si>
    <t>Starting Cohort (Jan)</t>
  </si>
  <si>
    <t>New Customer Growth</t>
  </si>
  <si>
    <t>Metric</t>
  </si>
  <si>
    <t>Value</t>
  </si>
  <si>
    <t>Meaning</t>
  </si>
  <si>
    <t>Every active customer pays $50/month.</t>
  </si>
  <si>
    <t>We got 100 new customers in Jan.</t>
  </si>
  <si>
    <t>Every month, we get 20% more new customers than the last month.</t>
  </si>
  <si>
    <t>The Retention Rates</t>
  </si>
  <si>
    <t>Month 0</t>
  </si>
  <si>
    <t>Month 1</t>
  </si>
  <si>
    <t>Month 2</t>
  </si>
  <si>
    <t>Month 3</t>
  </si>
  <si>
    <t>Month 4</t>
  </si>
  <si>
    <t>Month 5</t>
  </si>
  <si>
    <t>Month 6</t>
  </si>
  <si>
    <t>COHORT</t>
  </si>
  <si>
    <t>Customer Triangle Cell</t>
  </si>
  <si>
    <t>Month 7</t>
  </si>
  <si>
    <t>Month 8</t>
  </si>
  <si>
    <t>Month 9</t>
  </si>
  <si>
    <t>Month 10</t>
  </si>
  <si>
    <t>Month 11</t>
  </si>
  <si>
    <t>REVENUE</t>
  </si>
  <si>
    <t>Created By : Vishwaradhya Ms | FP&amp;A Startup Finance Analyst</t>
  </si>
  <si>
    <t xml:space="preserve">Model created manually for demonstration purpose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</si>
</sst>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</font>
    <font>
      <b/>
      <sz val="11"/>
      <color theme="0"/>
      <name val="Times New Roman"/>
      <family val="1"/>
    </font>
    <font>
      <sz val="11"/>
      <color theme="3" tint="0.249977111117893"/>
      <name val="Times New Roman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9" fontId="2" fillId="0" borderId="0" xfId="0" applyNumberFormat="1" applyFont="1"/>
    <xf numFmtId="17" fontId="2" fillId="0" borderId="0" xfId="0" applyNumberFormat="1" applyFont="1" applyAlignment="1">
      <alignment horizontal="center" vertical="top"/>
    </xf>
    <xf numFmtId="1" fontId="2" fillId="0" borderId="0" xfId="1" applyNumberFormat="1" applyFont="1"/>
    <xf numFmtId="1" fontId="2" fillId="0" borderId="0" xfId="0" applyNumberFormat="1" applyFont="1"/>
    <xf numFmtId="164" fontId="2" fillId="0" borderId="0" xfId="0" applyNumberFormat="1" applyFont="1"/>
    <xf numFmtId="164" fontId="2" fillId="0" borderId="0" xfId="1" applyNumberFormat="1" applyFont="1" applyFill="1"/>
    <xf numFmtId="0" fontId="5" fillId="2" borderId="0" xfId="0" applyFont="1" applyFill="1"/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164" fontId="3" fillId="0" borderId="0" xfId="0" applyNumberFormat="1" applyFont="1"/>
    <xf numFmtId="164" fontId="3" fillId="0" borderId="0" xfId="1" applyNumberFormat="1" applyFont="1" applyFill="1"/>
    <xf numFmtId="0" fontId="7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E29F-92C8-4BB2-A6DD-A304E034C5CD}">
  <dimension ref="B2:T58"/>
  <sheetViews>
    <sheetView showGridLines="0" tabSelected="1" topLeftCell="B1" zoomScale="98" zoomScaleNormal="98" workbookViewId="0">
      <selection activeCell="O61" sqref="O61"/>
    </sheetView>
  </sheetViews>
  <sheetFormatPr defaultRowHeight="13.8" x14ac:dyDescent="0.25"/>
  <cols>
    <col min="1" max="1" width="2.77734375" style="1" customWidth="1"/>
    <col min="2" max="2" width="21.44140625" style="1" customWidth="1"/>
    <col min="3" max="15" width="12.77734375" style="1" customWidth="1"/>
    <col min="16" max="16" width="10" style="1" bestFit="1" customWidth="1"/>
    <col min="17" max="16384" width="8.88671875" style="1"/>
  </cols>
  <sheetData>
    <row r="2" spans="2:15" x14ac:dyDescent="0.25">
      <c r="B2" s="2" t="s">
        <v>0</v>
      </c>
    </row>
    <row r="4" spans="2:15" x14ac:dyDescent="0.25">
      <c r="B4" s="2" t="s">
        <v>5</v>
      </c>
      <c r="C4" s="2" t="s">
        <v>6</v>
      </c>
      <c r="D4" s="2" t="s">
        <v>7</v>
      </c>
    </row>
    <row r="5" spans="2:15" ht="14.4" x14ac:dyDescent="0.3">
      <c r="B5" s="1" t="s">
        <v>1</v>
      </c>
      <c r="C5" s="10" t="s">
        <v>2</v>
      </c>
      <c r="D5" t="s">
        <v>8</v>
      </c>
    </row>
    <row r="6" spans="2:15" ht="14.4" x14ac:dyDescent="0.3">
      <c r="B6" s="1" t="s">
        <v>3</v>
      </c>
      <c r="C6" s="10">
        <v>100</v>
      </c>
      <c r="D6" t="s">
        <v>9</v>
      </c>
    </row>
    <row r="7" spans="2:15" ht="14.4" x14ac:dyDescent="0.3">
      <c r="B7" s="1" t="s">
        <v>4</v>
      </c>
      <c r="C7" s="11">
        <v>0.2</v>
      </c>
      <c r="D7" t="s">
        <v>10</v>
      </c>
    </row>
    <row r="10" spans="2:15" x14ac:dyDescent="0.25">
      <c r="B10" s="9" t="s">
        <v>11</v>
      </c>
    </row>
    <row r="11" spans="2:15" x14ac:dyDescent="0.25">
      <c r="C11" s="9" t="s">
        <v>12</v>
      </c>
      <c r="D11" s="9" t="s">
        <v>13</v>
      </c>
      <c r="E11" s="9" t="s">
        <v>14</v>
      </c>
      <c r="F11" s="9" t="s">
        <v>15</v>
      </c>
      <c r="G11" s="9" t="s">
        <v>16</v>
      </c>
      <c r="H11" s="9" t="s">
        <v>17</v>
      </c>
      <c r="I11" s="9" t="s">
        <v>18</v>
      </c>
      <c r="J11" s="9" t="s">
        <v>21</v>
      </c>
      <c r="K11" s="9" t="s">
        <v>22</v>
      </c>
      <c r="L11" s="9" t="s">
        <v>23</v>
      </c>
      <c r="M11" s="9" t="s">
        <v>24</v>
      </c>
      <c r="N11" s="9" t="s">
        <v>25</v>
      </c>
      <c r="O11" s="2"/>
    </row>
    <row r="12" spans="2:15" x14ac:dyDescent="0.25">
      <c r="C12" s="3">
        <v>100</v>
      </c>
      <c r="D12" s="3">
        <v>0.9</v>
      </c>
      <c r="E12" s="3">
        <v>0.8</v>
      </c>
      <c r="F12" s="3">
        <v>0.7</v>
      </c>
      <c r="G12" s="3">
        <v>0.6</v>
      </c>
      <c r="H12" s="3">
        <v>0.5</v>
      </c>
      <c r="I12" s="3">
        <v>0.5</v>
      </c>
      <c r="J12" s="3">
        <v>0.45</v>
      </c>
      <c r="K12" s="3">
        <v>0.45</v>
      </c>
      <c r="L12" s="3">
        <v>0.4</v>
      </c>
      <c r="M12" s="3">
        <v>0.4</v>
      </c>
      <c r="N12" s="3">
        <v>0.4</v>
      </c>
      <c r="O12" s="3"/>
    </row>
    <row r="15" spans="2:15" x14ac:dyDescent="0.25">
      <c r="B15" s="2" t="s">
        <v>20</v>
      </c>
    </row>
    <row r="17" spans="2:15" x14ac:dyDescent="0.25">
      <c r="B17" s="9" t="s">
        <v>19</v>
      </c>
      <c r="C17" s="9" t="s">
        <v>12</v>
      </c>
      <c r="D17" s="9" t="s">
        <v>13</v>
      </c>
      <c r="E17" s="9" t="s">
        <v>14</v>
      </c>
      <c r="F17" s="9" t="s">
        <v>15</v>
      </c>
      <c r="G17" s="9" t="s">
        <v>16</v>
      </c>
      <c r="H17" s="9" t="s">
        <v>17</v>
      </c>
      <c r="I17" s="9" t="s">
        <v>18</v>
      </c>
      <c r="J17" s="9" t="s">
        <v>21</v>
      </c>
      <c r="K17" s="9" t="s">
        <v>22</v>
      </c>
      <c r="L17" s="9" t="s">
        <v>23</v>
      </c>
      <c r="M17" s="9" t="s">
        <v>24</v>
      </c>
      <c r="N17" s="9" t="s">
        <v>25</v>
      </c>
    </row>
    <row r="19" spans="2:15" x14ac:dyDescent="0.25">
      <c r="B19" s="4">
        <v>45292</v>
      </c>
      <c r="C19" s="5">
        <f>C12</f>
        <v>100</v>
      </c>
      <c r="D19" s="5">
        <f>C19*$D$12</f>
        <v>90</v>
      </c>
      <c r="E19" s="5">
        <f>C19*$E$12</f>
        <v>80</v>
      </c>
      <c r="F19" s="5">
        <f>C19*$F$12</f>
        <v>70</v>
      </c>
      <c r="G19" s="5">
        <f>C19*$G$12</f>
        <v>60</v>
      </c>
      <c r="H19" s="5">
        <f>C19*$H$12</f>
        <v>50</v>
      </c>
      <c r="I19" s="5">
        <f>C19*$I$12</f>
        <v>50</v>
      </c>
      <c r="J19" s="6">
        <f>C19*$J$12</f>
        <v>45</v>
      </c>
      <c r="K19" s="6">
        <f>C19*$K$12</f>
        <v>45</v>
      </c>
      <c r="L19" s="6">
        <f>$C$19*$L$12</f>
        <v>40</v>
      </c>
      <c r="M19" s="6">
        <f>C19*$L$12</f>
        <v>40</v>
      </c>
      <c r="N19" s="6">
        <f>C19*$L$12</f>
        <v>40</v>
      </c>
      <c r="O19" s="6"/>
    </row>
    <row r="20" spans="2:15" x14ac:dyDescent="0.25">
      <c r="B20" s="4">
        <v>45323</v>
      </c>
      <c r="C20" s="5">
        <f>C19*(1+20%)</f>
        <v>120</v>
      </c>
      <c r="D20" s="5">
        <f t="shared" ref="D20:D30" si="0">C20*$D$12</f>
        <v>108</v>
      </c>
      <c r="E20" s="5">
        <f>C20*$E$12</f>
        <v>96</v>
      </c>
      <c r="F20" s="5">
        <f t="shared" ref="F20:F30" si="1">C20*$F$12</f>
        <v>84</v>
      </c>
      <c r="G20" s="5">
        <f t="shared" ref="G20:G30" si="2">C20*$G$12</f>
        <v>72</v>
      </c>
      <c r="H20" s="5">
        <f t="shared" ref="H20:H30" si="3">C20*$H$12</f>
        <v>60</v>
      </c>
      <c r="I20" s="5">
        <f t="shared" ref="I20:I30" si="4">C20*$I$12</f>
        <v>60</v>
      </c>
      <c r="J20" s="6">
        <f t="shared" ref="J20:J30" si="5">C20*$J$12</f>
        <v>54</v>
      </c>
      <c r="K20" s="6">
        <f t="shared" ref="K20:K30" si="6">C20*$K$12</f>
        <v>54</v>
      </c>
      <c r="L20" s="6">
        <f t="shared" ref="L20:L30" si="7">C20*$L$12</f>
        <v>48</v>
      </c>
      <c r="M20" s="6">
        <f t="shared" ref="M20:M30" si="8">C20*$L$12</f>
        <v>48</v>
      </c>
      <c r="N20" s="6">
        <f t="shared" ref="N20:N30" si="9">C20*$L$12</f>
        <v>48</v>
      </c>
      <c r="O20" s="6"/>
    </row>
    <row r="21" spans="2:15" x14ac:dyDescent="0.25">
      <c r="B21" s="4">
        <v>45352</v>
      </c>
      <c r="C21" s="5">
        <f t="shared" ref="C21:C30" si="10">C20*(1+20%)</f>
        <v>144</v>
      </c>
      <c r="D21" s="5">
        <f t="shared" si="0"/>
        <v>129.6</v>
      </c>
      <c r="E21" s="5">
        <f t="shared" ref="E21:E30" si="11">C21*$E$12</f>
        <v>115.2</v>
      </c>
      <c r="F21" s="5">
        <f t="shared" si="1"/>
        <v>100.8</v>
      </c>
      <c r="G21" s="5">
        <f t="shared" si="2"/>
        <v>86.399999999999991</v>
      </c>
      <c r="H21" s="5">
        <f t="shared" si="3"/>
        <v>72</v>
      </c>
      <c r="I21" s="5">
        <f t="shared" si="4"/>
        <v>72</v>
      </c>
      <c r="J21" s="6">
        <f t="shared" si="5"/>
        <v>64.8</v>
      </c>
      <c r="K21" s="6">
        <f t="shared" si="6"/>
        <v>64.8</v>
      </c>
      <c r="L21" s="6">
        <f t="shared" si="7"/>
        <v>57.6</v>
      </c>
      <c r="M21" s="6">
        <f t="shared" si="8"/>
        <v>57.6</v>
      </c>
      <c r="N21" s="6">
        <f t="shared" si="9"/>
        <v>57.6</v>
      </c>
      <c r="O21" s="6"/>
    </row>
    <row r="22" spans="2:15" x14ac:dyDescent="0.25">
      <c r="B22" s="4">
        <v>45383</v>
      </c>
      <c r="C22" s="5">
        <f t="shared" si="10"/>
        <v>172.79999999999998</v>
      </c>
      <c r="D22" s="5">
        <f t="shared" si="0"/>
        <v>155.51999999999998</v>
      </c>
      <c r="E22" s="5">
        <f t="shared" si="11"/>
        <v>138.23999999999998</v>
      </c>
      <c r="F22" s="5">
        <f t="shared" si="1"/>
        <v>120.95999999999998</v>
      </c>
      <c r="G22" s="5">
        <f t="shared" si="2"/>
        <v>103.67999999999999</v>
      </c>
      <c r="H22" s="5">
        <f t="shared" si="3"/>
        <v>86.399999999999991</v>
      </c>
      <c r="I22" s="5">
        <f t="shared" si="4"/>
        <v>86.399999999999991</v>
      </c>
      <c r="J22" s="6">
        <f t="shared" si="5"/>
        <v>77.759999999999991</v>
      </c>
      <c r="K22" s="6">
        <f t="shared" si="6"/>
        <v>77.759999999999991</v>
      </c>
      <c r="L22" s="6">
        <f t="shared" si="7"/>
        <v>69.11999999999999</v>
      </c>
      <c r="M22" s="6">
        <f t="shared" si="8"/>
        <v>69.11999999999999</v>
      </c>
      <c r="N22" s="6">
        <f t="shared" si="9"/>
        <v>69.11999999999999</v>
      </c>
      <c r="O22" s="6"/>
    </row>
    <row r="23" spans="2:15" x14ac:dyDescent="0.25">
      <c r="B23" s="4">
        <v>45413</v>
      </c>
      <c r="C23" s="5">
        <f t="shared" si="10"/>
        <v>207.35999999999999</v>
      </c>
      <c r="D23" s="5">
        <f t="shared" si="0"/>
        <v>186.624</v>
      </c>
      <c r="E23" s="5">
        <f t="shared" si="11"/>
        <v>165.88800000000001</v>
      </c>
      <c r="F23" s="5">
        <f t="shared" si="1"/>
        <v>145.15199999999999</v>
      </c>
      <c r="G23" s="5">
        <f t="shared" si="2"/>
        <v>124.41599999999998</v>
      </c>
      <c r="H23" s="5">
        <f t="shared" si="3"/>
        <v>103.67999999999999</v>
      </c>
      <c r="I23" s="5">
        <f t="shared" si="4"/>
        <v>103.67999999999999</v>
      </c>
      <c r="J23" s="6">
        <f t="shared" si="5"/>
        <v>93.311999999999998</v>
      </c>
      <c r="K23" s="6">
        <f t="shared" si="6"/>
        <v>93.311999999999998</v>
      </c>
      <c r="L23" s="6">
        <f t="shared" si="7"/>
        <v>82.944000000000003</v>
      </c>
      <c r="M23" s="6">
        <f t="shared" si="8"/>
        <v>82.944000000000003</v>
      </c>
      <c r="N23" s="6">
        <f t="shared" si="9"/>
        <v>82.944000000000003</v>
      </c>
      <c r="O23" s="6"/>
    </row>
    <row r="24" spans="2:15" x14ac:dyDescent="0.25">
      <c r="B24" s="4">
        <v>45444</v>
      </c>
      <c r="C24" s="5">
        <f t="shared" si="10"/>
        <v>248.83199999999997</v>
      </c>
      <c r="D24" s="5">
        <f t="shared" si="0"/>
        <v>223.94879999999998</v>
      </c>
      <c r="E24" s="5">
        <f t="shared" si="11"/>
        <v>199.06559999999999</v>
      </c>
      <c r="F24" s="5">
        <f t="shared" si="1"/>
        <v>174.18239999999997</v>
      </c>
      <c r="G24" s="5">
        <f t="shared" si="2"/>
        <v>149.29919999999998</v>
      </c>
      <c r="H24" s="5">
        <f t="shared" si="3"/>
        <v>124.41599999999998</v>
      </c>
      <c r="I24" s="5">
        <f t="shared" si="4"/>
        <v>124.41599999999998</v>
      </c>
      <c r="J24" s="6">
        <f t="shared" si="5"/>
        <v>111.97439999999999</v>
      </c>
      <c r="K24" s="6">
        <f t="shared" si="6"/>
        <v>111.97439999999999</v>
      </c>
      <c r="L24" s="6">
        <f t="shared" si="7"/>
        <v>99.532799999999995</v>
      </c>
      <c r="M24" s="6">
        <f t="shared" si="8"/>
        <v>99.532799999999995</v>
      </c>
      <c r="N24" s="6">
        <f t="shared" si="9"/>
        <v>99.532799999999995</v>
      </c>
      <c r="O24" s="6"/>
    </row>
    <row r="25" spans="2:15" x14ac:dyDescent="0.25">
      <c r="B25" s="4">
        <v>45474</v>
      </c>
      <c r="C25" s="5">
        <f t="shared" si="10"/>
        <v>298.59839999999997</v>
      </c>
      <c r="D25" s="5">
        <f t="shared" si="0"/>
        <v>268.73856000000001</v>
      </c>
      <c r="E25" s="5">
        <f t="shared" si="11"/>
        <v>238.87871999999999</v>
      </c>
      <c r="F25" s="5">
        <f t="shared" si="1"/>
        <v>209.01887999999997</v>
      </c>
      <c r="G25" s="5">
        <f t="shared" si="2"/>
        <v>179.15903999999998</v>
      </c>
      <c r="H25" s="5">
        <f t="shared" si="3"/>
        <v>149.29919999999998</v>
      </c>
      <c r="I25" s="5">
        <f t="shared" si="4"/>
        <v>149.29919999999998</v>
      </c>
      <c r="J25" s="6">
        <f t="shared" si="5"/>
        <v>134.36928</v>
      </c>
      <c r="K25" s="6">
        <f t="shared" si="6"/>
        <v>134.36928</v>
      </c>
      <c r="L25" s="6">
        <f t="shared" si="7"/>
        <v>119.43935999999999</v>
      </c>
      <c r="M25" s="6">
        <f t="shared" si="8"/>
        <v>119.43935999999999</v>
      </c>
      <c r="N25" s="6">
        <f t="shared" si="9"/>
        <v>119.43935999999999</v>
      </c>
      <c r="O25" s="6"/>
    </row>
    <row r="26" spans="2:15" x14ac:dyDescent="0.25">
      <c r="B26" s="4">
        <v>45505</v>
      </c>
      <c r="C26" s="5">
        <f t="shared" si="10"/>
        <v>358.31807999999995</v>
      </c>
      <c r="D26" s="5">
        <f t="shared" si="0"/>
        <v>322.48627199999999</v>
      </c>
      <c r="E26" s="5">
        <f t="shared" si="11"/>
        <v>286.65446399999996</v>
      </c>
      <c r="F26" s="5">
        <f t="shared" si="1"/>
        <v>250.82265599999994</v>
      </c>
      <c r="G26" s="5">
        <f t="shared" si="2"/>
        <v>214.99084799999997</v>
      </c>
      <c r="H26" s="5">
        <f t="shared" si="3"/>
        <v>179.15903999999998</v>
      </c>
      <c r="I26" s="5">
        <f t="shared" si="4"/>
        <v>179.15903999999998</v>
      </c>
      <c r="J26" s="6">
        <f t="shared" si="5"/>
        <v>161.24313599999999</v>
      </c>
      <c r="K26" s="6">
        <f t="shared" si="6"/>
        <v>161.24313599999999</v>
      </c>
      <c r="L26" s="6">
        <f t="shared" si="7"/>
        <v>143.32723199999998</v>
      </c>
      <c r="M26" s="6">
        <f t="shared" si="8"/>
        <v>143.32723199999998</v>
      </c>
      <c r="N26" s="6">
        <f t="shared" si="9"/>
        <v>143.32723199999998</v>
      </c>
      <c r="O26" s="6"/>
    </row>
    <row r="27" spans="2:15" x14ac:dyDescent="0.25">
      <c r="B27" s="4">
        <v>45536</v>
      </c>
      <c r="C27" s="5">
        <f t="shared" si="10"/>
        <v>429.98169599999994</v>
      </c>
      <c r="D27" s="5">
        <f t="shared" si="0"/>
        <v>386.98352639999996</v>
      </c>
      <c r="E27" s="5">
        <f t="shared" si="11"/>
        <v>343.98535679999998</v>
      </c>
      <c r="F27" s="5">
        <f t="shared" si="1"/>
        <v>300.98718719999994</v>
      </c>
      <c r="G27" s="5">
        <f t="shared" si="2"/>
        <v>257.98901759999995</v>
      </c>
      <c r="H27" s="5">
        <f t="shared" si="3"/>
        <v>214.99084799999997</v>
      </c>
      <c r="I27" s="5">
        <f t="shared" si="4"/>
        <v>214.99084799999997</v>
      </c>
      <c r="J27" s="6">
        <f t="shared" si="5"/>
        <v>193.49176319999998</v>
      </c>
      <c r="K27" s="6">
        <f t="shared" si="6"/>
        <v>193.49176319999998</v>
      </c>
      <c r="L27" s="6">
        <f t="shared" si="7"/>
        <v>171.99267839999999</v>
      </c>
      <c r="M27" s="6">
        <f t="shared" si="8"/>
        <v>171.99267839999999</v>
      </c>
      <c r="N27" s="6">
        <f t="shared" si="9"/>
        <v>171.99267839999999</v>
      </c>
      <c r="O27" s="6"/>
    </row>
    <row r="28" spans="2:15" x14ac:dyDescent="0.25">
      <c r="B28" s="4">
        <v>45566</v>
      </c>
      <c r="C28" s="5">
        <f t="shared" si="10"/>
        <v>515.97803519999991</v>
      </c>
      <c r="D28" s="5">
        <f t="shared" si="0"/>
        <v>464.38023167999995</v>
      </c>
      <c r="E28" s="5">
        <f t="shared" si="11"/>
        <v>412.78242815999994</v>
      </c>
      <c r="F28" s="5">
        <f t="shared" si="1"/>
        <v>361.18462463999992</v>
      </c>
      <c r="G28" s="5">
        <f t="shared" si="2"/>
        <v>309.58682111999991</v>
      </c>
      <c r="H28" s="5">
        <f t="shared" si="3"/>
        <v>257.98901759999995</v>
      </c>
      <c r="I28" s="5">
        <f t="shared" si="4"/>
        <v>257.98901759999995</v>
      </c>
      <c r="J28" s="6">
        <f t="shared" si="5"/>
        <v>232.19011583999998</v>
      </c>
      <c r="K28" s="6">
        <f t="shared" si="6"/>
        <v>232.19011583999998</v>
      </c>
      <c r="L28" s="6">
        <f t="shared" si="7"/>
        <v>206.39121407999997</v>
      </c>
      <c r="M28" s="6">
        <f t="shared" si="8"/>
        <v>206.39121407999997</v>
      </c>
      <c r="N28" s="6">
        <f t="shared" si="9"/>
        <v>206.39121407999997</v>
      </c>
      <c r="O28" s="6"/>
    </row>
    <row r="29" spans="2:15" x14ac:dyDescent="0.25">
      <c r="B29" s="4">
        <v>45597</v>
      </c>
      <c r="C29" s="5">
        <f t="shared" si="10"/>
        <v>619.17364223999982</v>
      </c>
      <c r="D29" s="5">
        <f t="shared" si="0"/>
        <v>557.2562780159999</v>
      </c>
      <c r="E29" s="5">
        <f t="shared" si="11"/>
        <v>495.33891379199986</v>
      </c>
      <c r="F29" s="5">
        <f t="shared" si="1"/>
        <v>433.42154956799988</v>
      </c>
      <c r="G29" s="5">
        <f t="shared" si="2"/>
        <v>371.50418534399989</v>
      </c>
      <c r="H29" s="5">
        <f t="shared" si="3"/>
        <v>309.58682111999991</v>
      </c>
      <c r="I29" s="5">
        <f t="shared" si="4"/>
        <v>309.58682111999991</v>
      </c>
      <c r="J29" s="6">
        <f t="shared" si="5"/>
        <v>278.62813900799995</v>
      </c>
      <c r="K29" s="6">
        <f t="shared" si="6"/>
        <v>278.62813900799995</v>
      </c>
      <c r="L29" s="6">
        <f t="shared" si="7"/>
        <v>247.66945689599993</v>
      </c>
      <c r="M29" s="6">
        <f t="shared" si="8"/>
        <v>247.66945689599993</v>
      </c>
      <c r="N29" s="6">
        <f t="shared" si="9"/>
        <v>247.66945689599993</v>
      </c>
      <c r="O29" s="6"/>
    </row>
    <row r="30" spans="2:15" x14ac:dyDescent="0.25">
      <c r="B30" s="4">
        <v>45627</v>
      </c>
      <c r="C30" s="5">
        <f t="shared" si="10"/>
        <v>743.00837068799979</v>
      </c>
      <c r="D30" s="5">
        <f t="shared" si="0"/>
        <v>668.70753361919981</v>
      </c>
      <c r="E30" s="5">
        <f t="shared" si="11"/>
        <v>594.40669655039983</v>
      </c>
      <c r="F30" s="5">
        <f t="shared" si="1"/>
        <v>520.10585948159985</v>
      </c>
      <c r="G30" s="5">
        <f t="shared" si="2"/>
        <v>445.80502241279987</v>
      </c>
      <c r="H30" s="5">
        <f t="shared" si="3"/>
        <v>371.50418534399989</v>
      </c>
      <c r="I30" s="5">
        <f t="shared" si="4"/>
        <v>371.50418534399989</v>
      </c>
      <c r="J30" s="6">
        <f t="shared" si="5"/>
        <v>334.3537668095999</v>
      </c>
      <c r="K30" s="6">
        <f t="shared" si="6"/>
        <v>334.3537668095999</v>
      </c>
      <c r="L30" s="6">
        <f t="shared" si="7"/>
        <v>297.20334827519991</v>
      </c>
      <c r="M30" s="6">
        <f t="shared" si="8"/>
        <v>297.20334827519991</v>
      </c>
      <c r="N30" s="6">
        <f t="shared" si="9"/>
        <v>297.20334827519991</v>
      </c>
      <c r="O30" s="6"/>
    </row>
    <row r="34" spans="2:15" x14ac:dyDescent="0.25">
      <c r="B34" s="2"/>
    </row>
    <row r="36" spans="2:15" x14ac:dyDescent="0.25">
      <c r="B36" s="9" t="s">
        <v>26</v>
      </c>
      <c r="C36" s="9" t="s">
        <v>12</v>
      </c>
      <c r="D36" s="9" t="s">
        <v>13</v>
      </c>
      <c r="E36" s="9" t="s">
        <v>14</v>
      </c>
      <c r="F36" s="9" t="s">
        <v>15</v>
      </c>
      <c r="G36" s="9" t="s">
        <v>16</v>
      </c>
      <c r="H36" s="9" t="s">
        <v>17</v>
      </c>
      <c r="I36" s="9" t="s">
        <v>18</v>
      </c>
      <c r="J36" s="9" t="s">
        <v>21</v>
      </c>
      <c r="K36" s="9" t="s">
        <v>22</v>
      </c>
      <c r="L36" s="9" t="s">
        <v>23</v>
      </c>
      <c r="M36" s="9" t="s">
        <v>24</v>
      </c>
      <c r="N36" s="9" t="s">
        <v>25</v>
      </c>
    </row>
    <row r="38" spans="2:15" x14ac:dyDescent="0.25">
      <c r="B38" s="4">
        <v>45292</v>
      </c>
      <c r="C38" s="8">
        <f>C19*50</f>
        <v>5000</v>
      </c>
      <c r="D38" s="8">
        <f>D19*50</f>
        <v>4500</v>
      </c>
      <c r="E38" s="8">
        <f>C38*$E$12</f>
        <v>4000</v>
      </c>
      <c r="F38" s="8">
        <f>C38*$F$12</f>
        <v>3500</v>
      </c>
      <c r="G38" s="8">
        <f>C38*$G$12</f>
        <v>3000</v>
      </c>
      <c r="H38" s="8">
        <f>C38*$H$12</f>
        <v>2500</v>
      </c>
      <c r="I38" s="8">
        <f>C38*$I$12</f>
        <v>2500</v>
      </c>
      <c r="J38" s="7">
        <f>C38*$J$12</f>
        <v>2250</v>
      </c>
      <c r="K38" s="7">
        <f>C38*$K$12</f>
        <v>2250</v>
      </c>
      <c r="L38" s="7">
        <f>C38*$L$12</f>
        <v>2000</v>
      </c>
      <c r="M38" s="7">
        <f>C38*$M$12</f>
        <v>2000</v>
      </c>
      <c r="N38" s="12">
        <f>C38*$N$12</f>
        <v>2000</v>
      </c>
      <c r="O38" s="7"/>
    </row>
    <row r="39" spans="2:15" x14ac:dyDescent="0.25">
      <c r="B39" s="4">
        <v>45323</v>
      </c>
      <c r="C39" s="8">
        <f>C38*(1+20%)</f>
        <v>6000</v>
      </c>
      <c r="D39" s="8">
        <f t="shared" ref="D39:D49" si="12">D20*50</f>
        <v>5400</v>
      </c>
      <c r="E39" s="8">
        <f>C39*$E$12</f>
        <v>4800</v>
      </c>
      <c r="F39" s="8">
        <f t="shared" ref="F39:F49" si="13">C39*$F$12</f>
        <v>4200</v>
      </c>
      <c r="G39" s="8">
        <f t="shared" ref="G39:G49" si="14">C39*$G$12</f>
        <v>3600</v>
      </c>
      <c r="H39" s="8">
        <f t="shared" ref="H39:H49" si="15">C39*$H$12</f>
        <v>3000</v>
      </c>
      <c r="I39" s="8">
        <f t="shared" ref="I39:I49" si="16">C39*$I$12</f>
        <v>3000</v>
      </c>
      <c r="J39" s="7">
        <f t="shared" ref="J39:J49" si="17">C39*$J$12</f>
        <v>2700</v>
      </c>
      <c r="K39" s="7">
        <f t="shared" ref="K39:K49" si="18">C39*$K$12</f>
        <v>2700</v>
      </c>
      <c r="L39" s="7">
        <f t="shared" ref="L39:L49" si="19">C39*$L$12</f>
        <v>2400</v>
      </c>
      <c r="M39" s="12">
        <f t="shared" ref="M39:M49" si="20">C39*$M$12</f>
        <v>2400</v>
      </c>
      <c r="N39" s="7">
        <f t="shared" ref="N39:N49" si="21">C39*$N$12</f>
        <v>2400</v>
      </c>
      <c r="O39" s="7"/>
    </row>
    <row r="40" spans="2:15" x14ac:dyDescent="0.25">
      <c r="B40" s="4">
        <v>45352</v>
      </c>
      <c r="C40" s="8">
        <f t="shared" ref="C40:C49" si="22">C39*(1+20%)</f>
        <v>7200</v>
      </c>
      <c r="D40" s="8">
        <f t="shared" si="12"/>
        <v>6480</v>
      </c>
      <c r="E40" s="8">
        <f t="shared" ref="E40:E49" si="23">C40*$E$12</f>
        <v>5760</v>
      </c>
      <c r="F40" s="8">
        <f t="shared" si="13"/>
        <v>5040</v>
      </c>
      <c r="G40" s="8">
        <f t="shared" si="14"/>
        <v>4320</v>
      </c>
      <c r="H40" s="8">
        <f t="shared" si="15"/>
        <v>3600</v>
      </c>
      <c r="I40" s="8">
        <f t="shared" si="16"/>
        <v>3600</v>
      </c>
      <c r="J40" s="7">
        <f t="shared" si="17"/>
        <v>3240</v>
      </c>
      <c r="K40" s="7">
        <f t="shared" si="18"/>
        <v>3240</v>
      </c>
      <c r="L40" s="12">
        <f t="shared" si="19"/>
        <v>2880</v>
      </c>
      <c r="M40" s="7">
        <f t="shared" si="20"/>
        <v>2880</v>
      </c>
      <c r="N40" s="7">
        <f t="shared" si="21"/>
        <v>2880</v>
      </c>
      <c r="O40" s="7"/>
    </row>
    <row r="41" spans="2:15" x14ac:dyDescent="0.25">
      <c r="B41" s="4">
        <v>45383</v>
      </c>
      <c r="C41" s="8">
        <f t="shared" si="22"/>
        <v>8640</v>
      </c>
      <c r="D41" s="8">
        <f t="shared" si="12"/>
        <v>7775.9999999999991</v>
      </c>
      <c r="E41" s="8">
        <f t="shared" si="23"/>
        <v>6912</v>
      </c>
      <c r="F41" s="8">
        <f t="shared" si="13"/>
        <v>6048</v>
      </c>
      <c r="G41" s="8">
        <f t="shared" si="14"/>
        <v>5184</v>
      </c>
      <c r="H41" s="8">
        <f t="shared" si="15"/>
        <v>4320</v>
      </c>
      <c r="I41" s="8">
        <f t="shared" si="16"/>
        <v>4320</v>
      </c>
      <c r="J41" s="7">
        <f t="shared" si="17"/>
        <v>3888</v>
      </c>
      <c r="K41" s="12">
        <f t="shared" si="18"/>
        <v>3888</v>
      </c>
      <c r="L41" s="7">
        <f t="shared" si="19"/>
        <v>3456</v>
      </c>
      <c r="M41" s="7">
        <f t="shared" si="20"/>
        <v>3456</v>
      </c>
      <c r="N41" s="7">
        <f t="shared" si="21"/>
        <v>3456</v>
      </c>
      <c r="O41" s="7"/>
    </row>
    <row r="42" spans="2:15" x14ac:dyDescent="0.25">
      <c r="B42" s="4">
        <v>45413</v>
      </c>
      <c r="C42" s="8">
        <f t="shared" si="22"/>
        <v>10368</v>
      </c>
      <c r="D42" s="8">
        <f t="shared" si="12"/>
        <v>9331.1999999999989</v>
      </c>
      <c r="E42" s="8">
        <f t="shared" si="23"/>
        <v>8294.4</v>
      </c>
      <c r="F42" s="8">
        <f t="shared" si="13"/>
        <v>7257.5999999999995</v>
      </c>
      <c r="G42" s="8">
        <f t="shared" si="14"/>
        <v>6220.8</v>
      </c>
      <c r="H42" s="8">
        <f t="shared" si="15"/>
        <v>5184</v>
      </c>
      <c r="I42" s="8">
        <f t="shared" si="16"/>
        <v>5184</v>
      </c>
      <c r="J42" s="12">
        <f>C42*$J$12</f>
        <v>4665.6000000000004</v>
      </c>
      <c r="K42" s="7">
        <f t="shared" si="18"/>
        <v>4665.6000000000004</v>
      </c>
      <c r="L42" s="7">
        <f t="shared" si="19"/>
        <v>4147.2</v>
      </c>
      <c r="M42" s="7">
        <f t="shared" si="20"/>
        <v>4147.2</v>
      </c>
      <c r="N42" s="7">
        <f t="shared" si="21"/>
        <v>4147.2</v>
      </c>
      <c r="O42" s="7"/>
    </row>
    <row r="43" spans="2:15" x14ac:dyDescent="0.25">
      <c r="B43" s="4">
        <v>45444</v>
      </c>
      <c r="C43" s="8">
        <f t="shared" si="22"/>
        <v>12441.6</v>
      </c>
      <c r="D43" s="8">
        <f t="shared" si="12"/>
        <v>11197.439999999999</v>
      </c>
      <c r="E43" s="8">
        <f t="shared" si="23"/>
        <v>9953.2800000000007</v>
      </c>
      <c r="F43" s="8">
        <f t="shared" si="13"/>
        <v>8709.119999999999</v>
      </c>
      <c r="G43" s="8">
        <f t="shared" si="14"/>
        <v>7464.96</v>
      </c>
      <c r="H43" s="8">
        <f t="shared" si="15"/>
        <v>6220.8</v>
      </c>
      <c r="I43" s="13">
        <f t="shared" si="16"/>
        <v>6220.8</v>
      </c>
      <c r="J43" s="7">
        <f t="shared" si="17"/>
        <v>5598.72</v>
      </c>
      <c r="K43" s="7">
        <f t="shared" si="18"/>
        <v>5598.72</v>
      </c>
      <c r="L43" s="7">
        <f t="shared" si="19"/>
        <v>4976.6400000000003</v>
      </c>
      <c r="M43" s="7">
        <f t="shared" si="20"/>
        <v>4976.6400000000003</v>
      </c>
      <c r="N43" s="7">
        <f t="shared" si="21"/>
        <v>4976.6400000000003</v>
      </c>
      <c r="O43" s="7"/>
    </row>
    <row r="44" spans="2:15" x14ac:dyDescent="0.25">
      <c r="B44" s="4">
        <v>45474</v>
      </c>
      <c r="C44" s="8">
        <f t="shared" si="22"/>
        <v>14929.92</v>
      </c>
      <c r="D44" s="8">
        <f t="shared" si="12"/>
        <v>13436.928</v>
      </c>
      <c r="E44" s="8">
        <f t="shared" si="23"/>
        <v>11943.936000000002</v>
      </c>
      <c r="F44" s="8">
        <f t="shared" si="13"/>
        <v>10450.944</v>
      </c>
      <c r="G44" s="8">
        <f t="shared" si="14"/>
        <v>8957.9519999999993</v>
      </c>
      <c r="H44" s="13">
        <f t="shared" si="15"/>
        <v>7464.96</v>
      </c>
      <c r="I44" s="8">
        <f t="shared" si="16"/>
        <v>7464.96</v>
      </c>
      <c r="J44" s="7">
        <f t="shared" si="17"/>
        <v>6718.4639999999999</v>
      </c>
      <c r="K44" s="7">
        <f t="shared" si="18"/>
        <v>6718.4639999999999</v>
      </c>
      <c r="L44" s="7">
        <f t="shared" si="19"/>
        <v>5971.9680000000008</v>
      </c>
      <c r="M44" s="7">
        <f t="shared" si="20"/>
        <v>5971.9680000000008</v>
      </c>
      <c r="N44" s="7">
        <f t="shared" si="21"/>
        <v>5971.9680000000008</v>
      </c>
      <c r="O44" s="7"/>
    </row>
    <row r="45" spans="2:15" x14ac:dyDescent="0.25">
      <c r="B45" s="4">
        <v>45505</v>
      </c>
      <c r="C45" s="8">
        <f t="shared" si="22"/>
        <v>17915.903999999999</v>
      </c>
      <c r="D45" s="8">
        <f t="shared" si="12"/>
        <v>16124.313599999999</v>
      </c>
      <c r="E45" s="8">
        <f t="shared" si="23"/>
        <v>14332.7232</v>
      </c>
      <c r="F45" s="8">
        <f t="shared" si="13"/>
        <v>12541.132799999998</v>
      </c>
      <c r="G45" s="13">
        <f t="shared" si="14"/>
        <v>10749.542399999998</v>
      </c>
      <c r="H45" s="8">
        <f t="shared" si="15"/>
        <v>8957.9519999999993</v>
      </c>
      <c r="I45" s="8">
        <f t="shared" si="16"/>
        <v>8957.9519999999993</v>
      </c>
      <c r="J45" s="7">
        <f t="shared" si="17"/>
        <v>8062.1567999999997</v>
      </c>
      <c r="K45" s="7">
        <f t="shared" si="18"/>
        <v>8062.1567999999997</v>
      </c>
      <c r="L45" s="7">
        <f t="shared" si="19"/>
        <v>7166.3616000000002</v>
      </c>
      <c r="M45" s="7">
        <f t="shared" si="20"/>
        <v>7166.3616000000002</v>
      </c>
      <c r="N45" s="7">
        <f t="shared" si="21"/>
        <v>7166.3616000000002</v>
      </c>
      <c r="O45" s="7"/>
    </row>
    <row r="46" spans="2:15" x14ac:dyDescent="0.25">
      <c r="B46" s="4">
        <v>45536</v>
      </c>
      <c r="C46" s="8">
        <f t="shared" si="22"/>
        <v>21499.084799999997</v>
      </c>
      <c r="D46" s="8">
        <f t="shared" si="12"/>
        <v>19349.176319999999</v>
      </c>
      <c r="E46" s="8">
        <f t="shared" si="23"/>
        <v>17199.267839999997</v>
      </c>
      <c r="F46" s="13">
        <f t="shared" si="13"/>
        <v>15049.359359999997</v>
      </c>
      <c r="G46" s="8">
        <f t="shared" si="14"/>
        <v>12899.450879999999</v>
      </c>
      <c r="H46" s="8">
        <f t="shared" si="15"/>
        <v>10749.542399999998</v>
      </c>
      <c r="I46" s="8">
        <f t="shared" si="16"/>
        <v>10749.542399999998</v>
      </c>
      <c r="J46" s="7">
        <f t="shared" si="17"/>
        <v>9674.5881599999993</v>
      </c>
      <c r="K46" s="7">
        <f t="shared" si="18"/>
        <v>9674.5881599999993</v>
      </c>
      <c r="L46" s="7">
        <f t="shared" si="19"/>
        <v>8599.6339199999984</v>
      </c>
      <c r="M46" s="7">
        <f t="shared" si="20"/>
        <v>8599.6339199999984</v>
      </c>
      <c r="N46" s="7">
        <f t="shared" si="21"/>
        <v>8599.6339199999984</v>
      </c>
      <c r="O46" s="7"/>
    </row>
    <row r="47" spans="2:15" x14ac:dyDescent="0.25">
      <c r="B47" s="4">
        <v>45566</v>
      </c>
      <c r="C47" s="8">
        <f t="shared" si="22"/>
        <v>25798.901759999997</v>
      </c>
      <c r="D47" s="8">
        <f t="shared" si="12"/>
        <v>23219.011583999996</v>
      </c>
      <c r="E47" s="13">
        <f t="shared" si="23"/>
        <v>20639.121407999999</v>
      </c>
      <c r="F47" s="8">
        <f t="shared" si="13"/>
        <v>18059.231231999998</v>
      </c>
      <c r="G47" s="8">
        <f t="shared" si="14"/>
        <v>15479.341055999997</v>
      </c>
      <c r="H47" s="8">
        <f t="shared" si="15"/>
        <v>12899.450879999999</v>
      </c>
      <c r="I47" s="8">
        <f t="shared" si="16"/>
        <v>12899.450879999999</v>
      </c>
      <c r="J47" s="7">
        <f t="shared" si="17"/>
        <v>11609.505791999998</v>
      </c>
      <c r="K47" s="7">
        <f t="shared" si="18"/>
        <v>11609.505791999998</v>
      </c>
      <c r="L47" s="7">
        <f t="shared" si="19"/>
        <v>10319.560704</v>
      </c>
      <c r="M47" s="7">
        <f t="shared" si="20"/>
        <v>10319.560704</v>
      </c>
      <c r="N47" s="7">
        <f t="shared" si="21"/>
        <v>10319.560704</v>
      </c>
      <c r="O47" s="7"/>
    </row>
    <row r="48" spans="2:15" x14ac:dyDescent="0.25">
      <c r="B48" s="4">
        <v>45597</v>
      </c>
      <c r="C48" s="8">
        <f t="shared" si="22"/>
        <v>30958.682111999995</v>
      </c>
      <c r="D48" s="13">
        <f t="shared" si="12"/>
        <v>27862.813900799996</v>
      </c>
      <c r="E48" s="8">
        <f t="shared" si="23"/>
        <v>24766.945689599997</v>
      </c>
      <c r="F48" s="8">
        <f t="shared" si="13"/>
        <v>21671.077478399995</v>
      </c>
      <c r="G48" s="8">
        <f t="shared" si="14"/>
        <v>18575.209267199996</v>
      </c>
      <c r="H48" s="8">
        <f t="shared" si="15"/>
        <v>15479.341055999997</v>
      </c>
      <c r="I48" s="8">
        <f t="shared" si="16"/>
        <v>15479.341055999997</v>
      </c>
      <c r="J48" s="7">
        <f t="shared" si="17"/>
        <v>13931.406950399998</v>
      </c>
      <c r="K48" s="7">
        <f t="shared" si="18"/>
        <v>13931.406950399998</v>
      </c>
      <c r="L48" s="7">
        <f t="shared" si="19"/>
        <v>12383.472844799999</v>
      </c>
      <c r="M48" s="7">
        <f t="shared" si="20"/>
        <v>12383.472844799999</v>
      </c>
      <c r="N48" s="7">
        <f t="shared" si="21"/>
        <v>12383.472844799999</v>
      </c>
      <c r="O48" s="7"/>
    </row>
    <row r="49" spans="2:20" x14ac:dyDescent="0.25">
      <c r="B49" s="4">
        <v>45627</v>
      </c>
      <c r="C49" s="13">
        <f t="shared" si="22"/>
        <v>37150.418534399992</v>
      </c>
      <c r="D49" s="8">
        <f t="shared" si="12"/>
        <v>33435.376680959991</v>
      </c>
      <c r="E49" s="8">
        <f t="shared" si="23"/>
        <v>29720.334827519997</v>
      </c>
      <c r="F49" s="8">
        <f t="shared" si="13"/>
        <v>26005.292974079992</v>
      </c>
      <c r="G49" s="8">
        <f t="shared" si="14"/>
        <v>22290.251120639994</v>
      </c>
      <c r="H49" s="8">
        <f t="shared" si="15"/>
        <v>18575.209267199996</v>
      </c>
      <c r="I49" s="8">
        <f t="shared" si="16"/>
        <v>18575.209267199996</v>
      </c>
      <c r="J49" s="7">
        <f t="shared" si="17"/>
        <v>16717.688340479996</v>
      </c>
      <c r="K49" s="7">
        <f t="shared" si="18"/>
        <v>16717.688340479996</v>
      </c>
      <c r="L49" s="7">
        <f t="shared" si="19"/>
        <v>14860.167413759998</v>
      </c>
      <c r="M49" s="7">
        <f t="shared" si="20"/>
        <v>14860.167413759998</v>
      </c>
      <c r="N49" s="7">
        <f t="shared" si="21"/>
        <v>14860.167413759998</v>
      </c>
      <c r="O49" s="7"/>
    </row>
    <row r="51" spans="2:20" x14ac:dyDescent="0.25">
      <c r="P51" s="7"/>
    </row>
    <row r="53" spans="2:20" x14ac:dyDescent="0.25">
      <c r="B53" s="2"/>
    </row>
    <row r="55" spans="2:20" x14ac:dyDescent="0.2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2:20" ht="14.4" x14ac:dyDescent="0.3">
      <c r="O56" s="14"/>
      <c r="P56" s="14"/>
      <c r="Q56" s="14"/>
      <c r="R56" s="14"/>
      <c r="S56" s="14"/>
      <c r="T56" s="14"/>
    </row>
    <row r="57" spans="2:20" ht="14.4" x14ac:dyDescent="0.3">
      <c r="O57" s="14" t="s">
        <v>27</v>
      </c>
      <c r="P57" s="14"/>
      <c r="Q57" s="14"/>
      <c r="R57" s="14"/>
      <c r="S57" s="14"/>
      <c r="T57" s="14"/>
    </row>
    <row r="58" spans="2:20" ht="14.4" x14ac:dyDescent="0.3">
      <c r="O58" s="14" t="s">
        <v>28</v>
      </c>
      <c r="P58" s="14"/>
      <c r="Q58" s="14"/>
      <c r="R58" s="14"/>
      <c r="S58" s="14"/>
      <c r="T58" s="14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Vishwaradhya Shreegurumath</dc:creator>
  <cp:lastModifiedBy>Vishwaradhya Shreegurumath</cp:lastModifiedBy>
  <dcterms:created xsi:type="dcterms:W3CDTF">2025-12-01T06:35:59Z</dcterms:created>
  <dcterms:modified xsi:type="dcterms:W3CDTF">2025-12-03T02:33:14Z</dcterms:modified>
</cp:coreProperties>
</file>