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waradhya\Downloads\"/>
    </mc:Choice>
  </mc:AlternateContent>
  <xr:revisionPtr revIDLastSave="0" documentId="13_ncr:1_{4234E761-FA0B-461A-9108-BD6026FBA180}" xr6:coauthVersionLast="47" xr6:coauthVersionMax="47" xr10:uidLastSave="{00000000-0000-0000-0000-000000000000}"/>
  <bookViews>
    <workbookView xWindow="-108" yWindow="-108" windowWidth="23256" windowHeight="12456" xr2:uid="{A02B9BB2-1E2C-48A9-A0EB-F01DE1CD62F9}"/>
  </bookViews>
  <sheets>
    <sheet name="Project Titan (Build vs Buy)" sheetId="1" r:id="rId1"/>
  </sheets>
  <definedNames>
    <definedName name="_xlnm.Print_Area" localSheetId="0">'Project Titan (Build vs Buy)'!$A$1:$AA$64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E64" i="1"/>
  <c r="D64" i="1"/>
  <c r="C64" i="1"/>
  <c r="F61" i="1"/>
  <c r="G61" i="1" s="1"/>
  <c r="H61" i="1"/>
  <c r="I61" i="1" s="1"/>
  <c r="J61" i="1"/>
  <c r="K61" i="1"/>
  <c r="L61" i="1"/>
  <c r="M61" i="1"/>
  <c r="N61" i="1"/>
  <c r="O61" i="1" s="1"/>
  <c r="P61" i="1"/>
  <c r="Q61" i="1" s="1"/>
  <c r="R61" i="1"/>
  <c r="S61" i="1"/>
  <c r="T61" i="1"/>
  <c r="U61" i="1"/>
  <c r="V61" i="1"/>
  <c r="W61" i="1" s="1"/>
  <c r="X61" i="1"/>
  <c r="Y61" i="1" s="1"/>
  <c r="Z61" i="1"/>
  <c r="E61" i="1"/>
  <c r="D61" i="1"/>
  <c r="C61" i="1"/>
  <c r="D58" i="1" l="1"/>
  <c r="C58" i="1"/>
  <c r="D56" i="1"/>
  <c r="C56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C48" i="1"/>
  <c r="D42" i="1"/>
  <c r="D50" i="1" s="1"/>
  <c r="E42" i="1"/>
  <c r="E50" i="1" s="1"/>
  <c r="F42" i="1"/>
  <c r="F50" i="1" s="1"/>
  <c r="G42" i="1"/>
  <c r="H42" i="1"/>
  <c r="I42" i="1"/>
  <c r="J42" i="1"/>
  <c r="K42" i="1"/>
  <c r="L42" i="1"/>
  <c r="L50" i="1" s="1"/>
  <c r="M42" i="1"/>
  <c r="M50" i="1" s="1"/>
  <c r="N42" i="1"/>
  <c r="N50" i="1" s="1"/>
  <c r="O42" i="1"/>
  <c r="O50" i="1" s="1"/>
  <c r="P42" i="1"/>
  <c r="P50" i="1" s="1"/>
  <c r="Q42" i="1"/>
  <c r="Q50" i="1" s="1"/>
  <c r="R42" i="1"/>
  <c r="R50" i="1" s="1"/>
  <c r="S42" i="1"/>
  <c r="S50" i="1" s="1"/>
  <c r="T42" i="1"/>
  <c r="T50" i="1" s="1"/>
  <c r="U42" i="1"/>
  <c r="U50" i="1" s="1"/>
  <c r="V42" i="1"/>
  <c r="V50" i="1" s="1"/>
  <c r="W42" i="1"/>
  <c r="W50" i="1" s="1"/>
  <c r="X42" i="1"/>
  <c r="X50" i="1" s="1"/>
  <c r="Y42" i="1"/>
  <c r="Y50" i="1" s="1"/>
  <c r="Z42" i="1"/>
  <c r="Z50" i="1" s="1"/>
  <c r="C42" i="1"/>
  <c r="C50" i="1" s="1"/>
  <c r="D31" i="1"/>
  <c r="E31" i="1"/>
  <c r="F31" i="1"/>
  <c r="G31" i="1"/>
  <c r="H31" i="1"/>
  <c r="I31" i="1"/>
  <c r="C31" i="1"/>
  <c r="J30" i="1"/>
  <c r="J31" i="1" s="1"/>
  <c r="Z32" i="1"/>
  <c r="Z33" i="1" s="1"/>
  <c r="D32" i="1"/>
  <c r="D33" i="1" s="1"/>
  <c r="D34" i="1" s="1"/>
  <c r="E32" i="1"/>
  <c r="E33" i="1" s="1"/>
  <c r="F32" i="1"/>
  <c r="F33" i="1" s="1"/>
  <c r="G32" i="1"/>
  <c r="G33" i="1" s="1"/>
  <c r="H32" i="1"/>
  <c r="H33" i="1" s="1"/>
  <c r="I32" i="1"/>
  <c r="I33" i="1" s="1"/>
  <c r="J32" i="1"/>
  <c r="J33" i="1" s="1"/>
  <c r="K32" i="1"/>
  <c r="K33" i="1" s="1"/>
  <c r="L32" i="1"/>
  <c r="L33" i="1" s="1"/>
  <c r="M32" i="1"/>
  <c r="M33" i="1" s="1"/>
  <c r="N32" i="1"/>
  <c r="N33" i="1" s="1"/>
  <c r="O32" i="1"/>
  <c r="O33" i="1" s="1"/>
  <c r="P32" i="1"/>
  <c r="P33" i="1" s="1"/>
  <c r="Q32" i="1"/>
  <c r="Q33" i="1" s="1"/>
  <c r="R32" i="1"/>
  <c r="R33" i="1" s="1"/>
  <c r="S32" i="1"/>
  <c r="S33" i="1" s="1"/>
  <c r="T32" i="1"/>
  <c r="T33" i="1" s="1"/>
  <c r="U32" i="1"/>
  <c r="U33" i="1" s="1"/>
  <c r="V32" i="1"/>
  <c r="V33" i="1" s="1"/>
  <c r="W32" i="1"/>
  <c r="W33" i="1" s="1"/>
  <c r="X32" i="1"/>
  <c r="X33" i="1" s="1"/>
  <c r="Y32" i="1"/>
  <c r="Y33" i="1" s="1"/>
  <c r="C32" i="1"/>
  <c r="C33" i="1" s="1"/>
  <c r="K50" i="1" l="1"/>
  <c r="J50" i="1"/>
  <c r="I50" i="1"/>
  <c r="H50" i="1"/>
  <c r="C34" i="1"/>
  <c r="G50" i="1"/>
  <c r="G34" i="1"/>
  <c r="K30" i="1"/>
  <c r="F34" i="1"/>
  <c r="E34" i="1"/>
  <c r="I34" i="1"/>
  <c r="H34" i="1"/>
  <c r="J34" i="1"/>
  <c r="L30" i="1" l="1"/>
  <c r="K31" i="1"/>
  <c r="K34" i="1" s="1"/>
  <c r="M30" i="1" l="1"/>
  <c r="L31" i="1"/>
  <c r="L34" i="1" s="1"/>
  <c r="N30" i="1" l="1"/>
  <c r="M31" i="1"/>
  <c r="M34" i="1" s="1"/>
  <c r="O30" i="1" l="1"/>
  <c r="N31" i="1"/>
  <c r="N34" i="1" s="1"/>
  <c r="P30" i="1" l="1"/>
  <c r="O31" i="1"/>
  <c r="O34" i="1" s="1"/>
  <c r="Q30" i="1" l="1"/>
  <c r="P31" i="1"/>
  <c r="P34" i="1" s="1"/>
  <c r="R30" i="1" l="1"/>
  <c r="Q31" i="1"/>
  <c r="Q34" i="1" s="1"/>
  <c r="S30" i="1" l="1"/>
  <c r="R31" i="1"/>
  <c r="R34" i="1" s="1"/>
  <c r="T30" i="1" l="1"/>
  <c r="S31" i="1"/>
  <c r="S34" i="1" s="1"/>
  <c r="U30" i="1" l="1"/>
  <c r="T31" i="1"/>
  <c r="T34" i="1" s="1"/>
  <c r="V30" i="1" l="1"/>
  <c r="U31" i="1"/>
  <c r="U34" i="1" s="1"/>
  <c r="W30" i="1" l="1"/>
  <c r="V31" i="1"/>
  <c r="V34" i="1" s="1"/>
  <c r="X30" i="1" l="1"/>
  <c r="W31" i="1"/>
  <c r="W34" i="1" s="1"/>
  <c r="Y30" i="1" l="1"/>
  <c r="X31" i="1"/>
  <c r="X34" i="1" s="1"/>
  <c r="Z30" i="1" l="1"/>
  <c r="Z31" i="1" s="1"/>
  <c r="Z34" i="1" s="1"/>
  <c r="Y31" i="1"/>
  <c r="Y34" i="1" s="1"/>
</calcChain>
</file>

<file path=xl/sharedStrings.xml><?xml version="1.0" encoding="utf-8"?>
<sst xmlns="http://schemas.openxmlformats.org/spreadsheetml/2006/main" count="65" uniqueCount="59">
  <si>
    <t>The Inputs</t>
  </si>
  <si>
    <t>Discount Rate (WACC)</t>
  </si>
  <si>
    <t>Revenue per User (ARPU)</t>
  </si>
  <si>
    <t>Dev Headcount</t>
  </si>
  <si>
    <t>Salary per Dev</t>
  </si>
  <si>
    <t>Development Time</t>
  </si>
  <si>
    <t>Users at launch (Month 7)</t>
  </si>
  <si>
    <t>Monthly Growth Rate</t>
  </si>
  <si>
    <t>PROJECT B: BUY AGENCY</t>
  </si>
  <si>
    <t>PROJECT A: BUILD IN-HOUSE</t>
  </si>
  <si>
    <t>Acquistion Price</t>
  </si>
  <si>
    <t>Integration Cost</t>
  </si>
  <si>
    <t>Maintenance Cost</t>
  </si>
  <si>
    <t>Users at Start (Month 1)</t>
  </si>
  <si>
    <t xml:space="preserve">Monthly Growth Rate </t>
  </si>
  <si>
    <t>Assumptions</t>
  </si>
  <si>
    <t>Value</t>
  </si>
  <si>
    <t>$20.00</t>
  </si>
  <si>
    <t>3 Developers</t>
  </si>
  <si>
    <t>$12000/mo</t>
  </si>
  <si>
    <t>6 months</t>
  </si>
  <si>
    <t>$400000</t>
  </si>
  <si>
    <t>$10000/mo</t>
  </si>
  <si>
    <t>$5000/mo</t>
  </si>
  <si>
    <t>Metrics</t>
  </si>
  <si>
    <t>Revenue</t>
  </si>
  <si>
    <t>Expense</t>
  </si>
  <si>
    <t>Net Cash Flow</t>
  </si>
  <si>
    <t>Build Model A (In-House Build)</t>
  </si>
  <si>
    <t>Total Cost</t>
  </si>
  <si>
    <t>Users Count</t>
  </si>
  <si>
    <t>Build Model B (The Acquisition)</t>
  </si>
  <si>
    <t>Users</t>
  </si>
  <si>
    <t>Expenses</t>
  </si>
  <si>
    <t>Acquisiton Cost</t>
  </si>
  <si>
    <t>Total Expense</t>
  </si>
  <si>
    <t>NET CASH FLOW</t>
  </si>
  <si>
    <t>Notes</t>
  </si>
  <si>
    <t>Used for NPV calculation</t>
  </si>
  <si>
    <t>Monthly subscription</t>
  </si>
  <si>
    <t>Need to hire 3 people</t>
  </si>
  <si>
    <t>Fully burdened cost</t>
  </si>
  <si>
    <t>0 Revenue during this time</t>
  </si>
  <si>
    <t>Starts small, grows fast</t>
  </si>
  <si>
    <t>Organic growth</t>
  </si>
  <si>
    <t>One-time cash payment in Month 1</t>
  </si>
  <si>
    <t>For first 3 months only</t>
  </si>
  <si>
    <t>Server/Hosting (No new salaries)</t>
  </si>
  <si>
    <t>Existing user base</t>
  </si>
  <si>
    <t>Slower growth (mature product)</t>
  </si>
  <si>
    <t>Metric</t>
  </si>
  <si>
    <t>Option A</t>
  </si>
  <si>
    <t xml:space="preserve">Option B </t>
  </si>
  <si>
    <t>Total 24-Mo Profit</t>
  </si>
  <si>
    <t>NPV (10% Discount)</t>
  </si>
  <si>
    <t>Cumulative Cash Flow</t>
  </si>
  <si>
    <t>Option B</t>
  </si>
  <si>
    <t>Created By : Vishwaradhya Ms | FP&amp;A Startup Finance Analyst</t>
  </si>
  <si>
    <t xml:space="preserve">Model created manually for demonstration purpose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</si>
</sst>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;\ \(0.00\)"/>
    <numFmt numFmtId="165" formatCode="#,##0.0"/>
    <numFmt numFmtId="166" formatCode="0.0;\ \(0.0\)"/>
    <numFmt numFmtId="167" formatCode="0;\ \(0\)"/>
    <numFmt numFmtId="168" formatCode="_-[$$-409]* #,##0.00_ ;_-[$$-409]* \-#,##0.00\ ;_-[$$-409]* &quot;-&quot;??_ ;_-@_ "/>
  </numFmts>
  <fonts count="6" x14ac:knownFonts="1"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3" tint="0.249977111117893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/>
    <xf numFmtId="165" fontId="1" fillId="0" borderId="0" xfId="0" applyNumberFormat="1" applyFont="1"/>
    <xf numFmtId="165" fontId="2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167" fontId="1" fillId="0" borderId="0" xfId="0" applyNumberFormat="1" applyFont="1"/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8" fontId="1" fillId="0" borderId="0" xfId="0" applyNumberFormat="1" applyFont="1"/>
    <xf numFmtId="165" fontId="2" fillId="0" borderId="0" xfId="0" applyNumberFormat="1" applyFont="1"/>
    <xf numFmtId="166" fontId="2" fillId="0" borderId="2" xfId="0" applyNumberFormat="1" applyFont="1" applyBorder="1"/>
    <xf numFmtId="0" fontId="4" fillId="2" borderId="0" xfId="0" applyFont="1" applyFill="1"/>
    <xf numFmtId="0" fontId="5" fillId="3" borderId="0" xfId="0" applyFont="1" applyFill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5AC2-5C15-42E0-ABF4-E6BFBAEF4C02}">
  <dimension ref="A1:Z83"/>
  <sheetViews>
    <sheetView showGridLines="0" tabSelected="1" topLeftCell="D63" zoomScale="98" zoomScaleNormal="98" zoomScaleSheetLayoutView="99" workbookViewId="0">
      <selection activeCell="N87" sqref="N87"/>
    </sheetView>
  </sheetViews>
  <sheetFormatPr defaultRowHeight="14.4" x14ac:dyDescent="0.3"/>
  <cols>
    <col min="1" max="1" width="2.77734375" customWidth="1"/>
    <col min="2" max="2" width="31.6640625" style="1" customWidth="1"/>
    <col min="3" max="3" width="14.33203125" style="1" customWidth="1"/>
    <col min="4" max="4" width="16.44140625" style="1" customWidth="1"/>
    <col min="5" max="26" width="12.77734375" style="1" customWidth="1"/>
    <col min="27" max="16384" width="8.88671875" style="1"/>
  </cols>
  <sheetData>
    <row r="1" spans="2:4" customFormat="1" x14ac:dyDescent="0.3"/>
    <row r="2" spans="2:4" x14ac:dyDescent="0.3">
      <c r="B2" s="2" t="s">
        <v>0</v>
      </c>
    </row>
    <row r="4" spans="2:4" x14ac:dyDescent="0.3">
      <c r="B4" s="19" t="s">
        <v>15</v>
      </c>
      <c r="C4" s="19" t="s">
        <v>16</v>
      </c>
      <c r="D4" s="19" t="s">
        <v>37</v>
      </c>
    </row>
    <row r="6" spans="2:4" x14ac:dyDescent="0.3">
      <c r="B6" s="1" t="s">
        <v>1</v>
      </c>
      <c r="C6" s="3">
        <v>0.1</v>
      </c>
      <c r="D6" t="s">
        <v>38</v>
      </c>
    </row>
    <row r="7" spans="2:4" x14ac:dyDescent="0.3">
      <c r="B7" s="1" t="s">
        <v>2</v>
      </c>
      <c r="C7" s="4" t="s">
        <v>17</v>
      </c>
      <c r="D7" t="s">
        <v>39</v>
      </c>
    </row>
    <row r="8" spans="2:4" x14ac:dyDescent="0.3">
      <c r="C8" s="4"/>
    </row>
    <row r="9" spans="2:4" x14ac:dyDescent="0.3">
      <c r="B9" s="2" t="s">
        <v>9</v>
      </c>
      <c r="C9" s="4"/>
    </row>
    <row r="10" spans="2:4" x14ac:dyDescent="0.3">
      <c r="B10" s="1" t="s">
        <v>3</v>
      </c>
      <c r="C10" s="4" t="s">
        <v>18</v>
      </c>
      <c r="D10" t="s">
        <v>40</v>
      </c>
    </row>
    <row r="11" spans="2:4" x14ac:dyDescent="0.3">
      <c r="B11" s="1" t="s">
        <v>4</v>
      </c>
      <c r="C11" s="4" t="s">
        <v>19</v>
      </c>
      <c r="D11" t="s">
        <v>41</v>
      </c>
    </row>
    <row r="12" spans="2:4" x14ac:dyDescent="0.3">
      <c r="B12" s="1" t="s">
        <v>5</v>
      </c>
      <c r="C12" s="4" t="s">
        <v>20</v>
      </c>
      <c r="D12" t="s">
        <v>42</v>
      </c>
    </row>
    <row r="13" spans="2:4" x14ac:dyDescent="0.3">
      <c r="B13" s="1" t="s">
        <v>6</v>
      </c>
      <c r="C13" s="4">
        <v>1000</v>
      </c>
      <c r="D13" t="s">
        <v>43</v>
      </c>
    </row>
    <row r="14" spans="2:4" x14ac:dyDescent="0.3">
      <c r="B14" s="1" t="s">
        <v>7</v>
      </c>
      <c r="C14" s="3">
        <v>0.15</v>
      </c>
      <c r="D14" t="s">
        <v>44</v>
      </c>
    </row>
    <row r="15" spans="2:4" x14ac:dyDescent="0.3">
      <c r="C15" s="4"/>
    </row>
    <row r="16" spans="2:4" x14ac:dyDescent="0.3">
      <c r="B16" s="2" t="s">
        <v>8</v>
      </c>
      <c r="C16" s="4"/>
    </row>
    <row r="17" spans="2:26" x14ac:dyDescent="0.3">
      <c r="B17" s="1" t="s">
        <v>10</v>
      </c>
      <c r="C17" s="4" t="s">
        <v>21</v>
      </c>
      <c r="D17" t="s">
        <v>45</v>
      </c>
    </row>
    <row r="18" spans="2:26" x14ac:dyDescent="0.3">
      <c r="B18" s="1" t="s">
        <v>11</v>
      </c>
      <c r="C18" s="4" t="s">
        <v>22</v>
      </c>
      <c r="D18" t="s">
        <v>46</v>
      </c>
    </row>
    <row r="19" spans="2:26" x14ac:dyDescent="0.3">
      <c r="B19" s="1" t="s">
        <v>12</v>
      </c>
      <c r="C19" s="4" t="s">
        <v>23</v>
      </c>
      <c r="D19" t="s">
        <v>47</v>
      </c>
    </row>
    <row r="20" spans="2:26" x14ac:dyDescent="0.3">
      <c r="B20" s="1" t="s">
        <v>13</v>
      </c>
      <c r="C20" s="4">
        <v>2500</v>
      </c>
      <c r="D20" t="s">
        <v>48</v>
      </c>
    </row>
    <row r="21" spans="2:26" x14ac:dyDescent="0.3">
      <c r="B21" s="1" t="s">
        <v>14</v>
      </c>
      <c r="C21" s="3">
        <v>0.05</v>
      </c>
      <c r="D21" t="s">
        <v>49</v>
      </c>
    </row>
    <row r="26" spans="2:26" x14ac:dyDescent="0.3">
      <c r="B26" s="2" t="s">
        <v>28</v>
      </c>
    </row>
    <row r="28" spans="2:26" x14ac:dyDescent="0.3">
      <c r="B28" s="19" t="s">
        <v>24</v>
      </c>
      <c r="C28" s="19">
        <v>1</v>
      </c>
      <c r="D28" s="19">
        <v>2</v>
      </c>
      <c r="E28" s="19">
        <v>3</v>
      </c>
      <c r="F28" s="19">
        <v>4</v>
      </c>
      <c r="G28" s="19">
        <v>5</v>
      </c>
      <c r="H28" s="19">
        <v>6</v>
      </c>
      <c r="I28" s="19">
        <v>7</v>
      </c>
      <c r="J28" s="19">
        <v>8</v>
      </c>
      <c r="K28" s="19">
        <v>9</v>
      </c>
      <c r="L28" s="19">
        <v>10</v>
      </c>
      <c r="M28" s="19">
        <v>11</v>
      </c>
      <c r="N28" s="19">
        <v>12</v>
      </c>
      <c r="O28" s="19">
        <v>13</v>
      </c>
      <c r="P28" s="19">
        <v>14</v>
      </c>
      <c r="Q28" s="19">
        <v>15</v>
      </c>
      <c r="R28" s="19">
        <v>16</v>
      </c>
      <c r="S28" s="19">
        <v>17</v>
      </c>
      <c r="T28" s="19">
        <v>18</v>
      </c>
      <c r="U28" s="19">
        <v>19</v>
      </c>
      <c r="V28" s="19">
        <v>20</v>
      </c>
      <c r="W28" s="19">
        <v>21</v>
      </c>
      <c r="X28" s="19">
        <v>22</v>
      </c>
      <c r="Y28" s="19">
        <v>23</v>
      </c>
      <c r="Z28" s="19">
        <v>24</v>
      </c>
    </row>
    <row r="30" spans="2:26" x14ac:dyDescent="0.3">
      <c r="B30" s="1" t="s">
        <v>30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1000</v>
      </c>
      <c r="J30" s="6">
        <f>I30*(1+15%)</f>
        <v>1150</v>
      </c>
      <c r="K30" s="6">
        <f t="shared" ref="K30:Z30" si="0">J30*(1+15%)</f>
        <v>1322.5</v>
      </c>
      <c r="L30" s="6">
        <f t="shared" si="0"/>
        <v>1520.8749999999998</v>
      </c>
      <c r="M30" s="6">
        <f t="shared" si="0"/>
        <v>1749.0062499999997</v>
      </c>
      <c r="N30" s="6">
        <f t="shared" si="0"/>
        <v>2011.3571874999996</v>
      </c>
      <c r="O30" s="6">
        <f t="shared" si="0"/>
        <v>2313.0607656249995</v>
      </c>
      <c r="P30" s="6">
        <f t="shared" si="0"/>
        <v>2660.0198804687493</v>
      </c>
      <c r="Q30" s="6">
        <f t="shared" si="0"/>
        <v>3059.0228625390614</v>
      </c>
      <c r="R30" s="6">
        <f t="shared" si="0"/>
        <v>3517.8762919199203</v>
      </c>
      <c r="S30" s="6">
        <f t="shared" si="0"/>
        <v>4045.5577357079078</v>
      </c>
      <c r="T30" s="6">
        <f t="shared" si="0"/>
        <v>4652.3913960640939</v>
      </c>
      <c r="U30" s="6">
        <f t="shared" si="0"/>
        <v>5350.2501054737077</v>
      </c>
      <c r="V30" s="6">
        <f t="shared" si="0"/>
        <v>6152.7876212947631</v>
      </c>
      <c r="W30" s="6">
        <f t="shared" si="0"/>
        <v>7075.7057644889774</v>
      </c>
      <c r="X30" s="6">
        <f t="shared" si="0"/>
        <v>8137.0616291623237</v>
      </c>
      <c r="Y30" s="6">
        <f t="shared" si="0"/>
        <v>9357.6208735366708</v>
      </c>
      <c r="Z30" s="6">
        <f t="shared" si="0"/>
        <v>10761.264004567171</v>
      </c>
    </row>
    <row r="31" spans="2:26" x14ac:dyDescent="0.3">
      <c r="B31" s="1" t="s">
        <v>25</v>
      </c>
      <c r="C31" s="6">
        <f>C30*20</f>
        <v>0</v>
      </c>
      <c r="D31" s="6">
        <f t="shared" ref="D31:K31" si="1">D30*20</f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20000</v>
      </c>
      <c r="J31" s="6">
        <f t="shared" si="1"/>
        <v>23000</v>
      </c>
      <c r="K31" s="6">
        <f t="shared" si="1"/>
        <v>26450</v>
      </c>
      <c r="L31" s="6">
        <f t="shared" ref="L31" si="2">L30*20</f>
        <v>30417.499999999996</v>
      </c>
      <c r="M31" s="6">
        <f t="shared" ref="M31" si="3">M30*20</f>
        <v>34980.124999999993</v>
      </c>
      <c r="N31" s="6">
        <f t="shared" ref="N31" si="4">N30*20</f>
        <v>40227.143749999988</v>
      </c>
      <c r="O31" s="6">
        <f t="shared" ref="O31" si="5">O30*20</f>
        <v>46261.21531249999</v>
      </c>
      <c r="P31" s="6">
        <f t="shared" ref="P31" si="6">P30*20</f>
        <v>53200.397609374988</v>
      </c>
      <c r="Q31" s="6">
        <f t="shared" ref="Q31" si="7">Q30*20</f>
        <v>61180.457250781226</v>
      </c>
      <c r="R31" s="6">
        <f t="shared" ref="R31:S31" si="8">R30*20</f>
        <v>70357.525838398404</v>
      </c>
      <c r="S31" s="6">
        <f t="shared" si="8"/>
        <v>80911.154714158154</v>
      </c>
      <c r="T31" s="6">
        <f t="shared" ref="T31" si="9">T30*20</f>
        <v>93047.827921281874</v>
      </c>
      <c r="U31" s="6">
        <f t="shared" ref="U31" si="10">U30*20</f>
        <v>107005.00210947415</v>
      </c>
      <c r="V31" s="6">
        <f t="shared" ref="V31" si="11">V30*20</f>
        <v>123055.75242589526</v>
      </c>
      <c r="W31" s="6">
        <f t="shared" ref="W31" si="12">W30*20</f>
        <v>141514.11528977955</v>
      </c>
      <c r="X31" s="6">
        <f t="shared" ref="X31" si="13">X30*20</f>
        <v>162741.23258324648</v>
      </c>
      <c r="Y31" s="6">
        <f t="shared" ref="Y31" si="14">Y30*20</f>
        <v>187152.4174707334</v>
      </c>
      <c r="Z31" s="6">
        <f t="shared" ref="Z31" si="15">Z30*20</f>
        <v>215225.28009134342</v>
      </c>
    </row>
    <row r="32" spans="2:26" x14ac:dyDescent="0.3">
      <c r="B32" s="1" t="s">
        <v>26</v>
      </c>
      <c r="C32" s="6">
        <f>3*12000</f>
        <v>36000</v>
      </c>
      <c r="D32" s="6">
        <f t="shared" ref="D32:Z32" si="16">3*12000</f>
        <v>36000</v>
      </c>
      <c r="E32" s="6">
        <f t="shared" si="16"/>
        <v>36000</v>
      </c>
      <c r="F32" s="6">
        <f t="shared" si="16"/>
        <v>36000</v>
      </c>
      <c r="G32" s="6">
        <f t="shared" si="16"/>
        <v>36000</v>
      </c>
      <c r="H32" s="6">
        <f t="shared" si="16"/>
        <v>36000</v>
      </c>
      <c r="I32" s="6">
        <f t="shared" si="16"/>
        <v>36000</v>
      </c>
      <c r="J32" s="6">
        <f t="shared" si="16"/>
        <v>36000</v>
      </c>
      <c r="K32" s="6">
        <f t="shared" si="16"/>
        <v>36000</v>
      </c>
      <c r="L32" s="6">
        <f t="shared" si="16"/>
        <v>36000</v>
      </c>
      <c r="M32" s="6">
        <f t="shared" si="16"/>
        <v>36000</v>
      </c>
      <c r="N32" s="6">
        <f t="shared" si="16"/>
        <v>36000</v>
      </c>
      <c r="O32" s="6">
        <f t="shared" si="16"/>
        <v>36000</v>
      </c>
      <c r="P32" s="6">
        <f t="shared" si="16"/>
        <v>36000</v>
      </c>
      <c r="Q32" s="6">
        <f t="shared" si="16"/>
        <v>36000</v>
      </c>
      <c r="R32" s="6">
        <f t="shared" si="16"/>
        <v>36000</v>
      </c>
      <c r="S32" s="6">
        <f t="shared" si="16"/>
        <v>36000</v>
      </c>
      <c r="T32" s="6">
        <f t="shared" si="16"/>
        <v>36000</v>
      </c>
      <c r="U32" s="6">
        <f t="shared" si="16"/>
        <v>36000</v>
      </c>
      <c r="V32" s="6">
        <f t="shared" si="16"/>
        <v>36000</v>
      </c>
      <c r="W32" s="6">
        <f t="shared" si="16"/>
        <v>36000</v>
      </c>
      <c r="X32" s="6">
        <f t="shared" si="16"/>
        <v>36000</v>
      </c>
      <c r="Y32" s="6">
        <f t="shared" si="16"/>
        <v>36000</v>
      </c>
      <c r="Z32" s="6">
        <f t="shared" si="16"/>
        <v>36000</v>
      </c>
    </row>
    <row r="33" spans="1:26" s="2" customFormat="1" x14ac:dyDescent="0.3">
      <c r="A33"/>
      <c r="B33" s="5" t="s">
        <v>29</v>
      </c>
      <c r="C33" s="7">
        <f>C32</f>
        <v>36000</v>
      </c>
      <c r="D33" s="7">
        <f t="shared" ref="D33:Z33" si="17">D32</f>
        <v>36000</v>
      </c>
      <c r="E33" s="7">
        <f t="shared" si="17"/>
        <v>36000</v>
      </c>
      <c r="F33" s="7">
        <f t="shared" si="17"/>
        <v>36000</v>
      </c>
      <c r="G33" s="7">
        <f t="shared" si="17"/>
        <v>36000</v>
      </c>
      <c r="H33" s="7">
        <f t="shared" si="17"/>
        <v>36000</v>
      </c>
      <c r="I33" s="7">
        <f t="shared" si="17"/>
        <v>36000</v>
      </c>
      <c r="J33" s="7">
        <f t="shared" si="17"/>
        <v>36000</v>
      </c>
      <c r="K33" s="7">
        <f t="shared" si="17"/>
        <v>36000</v>
      </c>
      <c r="L33" s="7">
        <f t="shared" si="17"/>
        <v>36000</v>
      </c>
      <c r="M33" s="7">
        <f t="shared" si="17"/>
        <v>36000</v>
      </c>
      <c r="N33" s="7">
        <f t="shared" si="17"/>
        <v>36000</v>
      </c>
      <c r="O33" s="7">
        <f t="shared" si="17"/>
        <v>36000</v>
      </c>
      <c r="P33" s="7">
        <f t="shared" si="17"/>
        <v>36000</v>
      </c>
      <c r="Q33" s="7">
        <f t="shared" si="17"/>
        <v>36000</v>
      </c>
      <c r="R33" s="7">
        <f t="shared" si="17"/>
        <v>36000</v>
      </c>
      <c r="S33" s="7">
        <f t="shared" si="17"/>
        <v>36000</v>
      </c>
      <c r="T33" s="7">
        <f t="shared" si="17"/>
        <v>36000</v>
      </c>
      <c r="U33" s="7">
        <f t="shared" si="17"/>
        <v>36000</v>
      </c>
      <c r="V33" s="7">
        <f t="shared" si="17"/>
        <v>36000</v>
      </c>
      <c r="W33" s="7">
        <f t="shared" si="17"/>
        <v>36000</v>
      </c>
      <c r="X33" s="7">
        <f t="shared" si="17"/>
        <v>36000</v>
      </c>
      <c r="Y33" s="7">
        <f t="shared" si="17"/>
        <v>36000</v>
      </c>
      <c r="Z33" s="7">
        <f t="shared" si="17"/>
        <v>36000</v>
      </c>
    </row>
    <row r="34" spans="1:26" ht="15" thickBot="1" x14ac:dyDescent="0.35">
      <c r="B34" s="8" t="s">
        <v>27</v>
      </c>
      <c r="C34" s="9">
        <f>C31-C33</f>
        <v>-36000</v>
      </c>
      <c r="D34" s="9">
        <f t="shared" ref="D34:Z34" si="18">D31-D33</f>
        <v>-36000</v>
      </c>
      <c r="E34" s="9">
        <f t="shared" si="18"/>
        <v>-36000</v>
      </c>
      <c r="F34" s="9">
        <f t="shared" si="18"/>
        <v>-36000</v>
      </c>
      <c r="G34" s="9">
        <f t="shared" si="18"/>
        <v>-36000</v>
      </c>
      <c r="H34" s="9">
        <f t="shared" si="18"/>
        <v>-36000</v>
      </c>
      <c r="I34" s="9">
        <f t="shared" si="18"/>
        <v>-16000</v>
      </c>
      <c r="J34" s="9">
        <f t="shared" si="18"/>
        <v>-13000</v>
      </c>
      <c r="K34" s="9">
        <f t="shared" si="18"/>
        <v>-9550</v>
      </c>
      <c r="L34" s="9">
        <f t="shared" si="18"/>
        <v>-5582.5000000000036</v>
      </c>
      <c r="M34" s="9">
        <f t="shared" si="18"/>
        <v>-1019.8750000000073</v>
      </c>
      <c r="N34" s="10">
        <f t="shared" si="18"/>
        <v>4227.1437499999884</v>
      </c>
      <c r="O34" s="10">
        <f t="shared" si="18"/>
        <v>10261.21531249999</v>
      </c>
      <c r="P34" s="10">
        <f t="shared" si="18"/>
        <v>17200.397609374988</v>
      </c>
      <c r="Q34" s="10">
        <f t="shared" si="18"/>
        <v>25180.457250781226</v>
      </c>
      <c r="R34" s="10">
        <f t="shared" si="18"/>
        <v>34357.525838398404</v>
      </c>
      <c r="S34" s="10">
        <f t="shared" si="18"/>
        <v>44911.154714158154</v>
      </c>
      <c r="T34" s="10">
        <f t="shared" si="18"/>
        <v>57047.827921281874</v>
      </c>
      <c r="U34" s="10">
        <f t="shared" si="18"/>
        <v>71005.002109474153</v>
      </c>
      <c r="V34" s="10">
        <f t="shared" si="18"/>
        <v>87055.752425895262</v>
      </c>
      <c r="W34" s="10">
        <f t="shared" si="18"/>
        <v>105514.11528977955</v>
      </c>
      <c r="X34" s="10">
        <f t="shared" si="18"/>
        <v>126741.23258324648</v>
      </c>
      <c r="Y34" s="10">
        <f t="shared" si="18"/>
        <v>151152.4174707334</v>
      </c>
      <c r="Z34" s="10">
        <f t="shared" si="18"/>
        <v>179225.28009134342</v>
      </c>
    </row>
    <row r="35" spans="1:26" ht="15" thickTop="1" x14ac:dyDescent="0.3"/>
    <row r="37" spans="1:26" x14ac:dyDescent="0.3">
      <c r="B37" s="2" t="s">
        <v>31</v>
      </c>
    </row>
    <row r="39" spans="1:26" x14ac:dyDescent="0.3">
      <c r="B39" s="19" t="s">
        <v>24</v>
      </c>
      <c r="C39" s="19">
        <v>1</v>
      </c>
      <c r="D39" s="19">
        <v>2</v>
      </c>
      <c r="E39" s="19">
        <v>3</v>
      </c>
      <c r="F39" s="19">
        <v>4</v>
      </c>
      <c r="G39" s="19">
        <v>5</v>
      </c>
      <c r="H39" s="19">
        <v>6</v>
      </c>
      <c r="I39" s="19">
        <v>7</v>
      </c>
      <c r="J39" s="19">
        <v>8</v>
      </c>
      <c r="K39" s="19">
        <v>9</v>
      </c>
      <c r="L39" s="19">
        <v>10</v>
      </c>
      <c r="M39" s="19">
        <v>11</v>
      </c>
      <c r="N39" s="19">
        <v>12</v>
      </c>
      <c r="O39" s="19">
        <v>13</v>
      </c>
      <c r="P39" s="19">
        <v>14</v>
      </c>
      <c r="Q39" s="19">
        <v>15</v>
      </c>
      <c r="R39" s="19">
        <v>16</v>
      </c>
      <c r="S39" s="19">
        <v>17</v>
      </c>
      <c r="T39" s="19">
        <v>18</v>
      </c>
      <c r="U39" s="19">
        <v>19</v>
      </c>
      <c r="V39" s="19">
        <v>20</v>
      </c>
      <c r="W39" s="19">
        <v>21</v>
      </c>
      <c r="X39" s="19">
        <v>22</v>
      </c>
      <c r="Y39" s="19">
        <v>23</v>
      </c>
      <c r="Z39" s="19">
        <v>24</v>
      </c>
    </row>
    <row r="41" spans="1:26" x14ac:dyDescent="0.3">
      <c r="B41" s="1" t="s">
        <v>32</v>
      </c>
      <c r="C41" s="6">
        <v>2500</v>
      </c>
      <c r="D41" s="6">
        <v>2625</v>
      </c>
      <c r="E41" s="6">
        <v>2750</v>
      </c>
      <c r="F41" s="6">
        <v>2875</v>
      </c>
      <c r="G41" s="6">
        <v>3000</v>
      </c>
      <c r="H41" s="6">
        <v>3125</v>
      </c>
      <c r="I41" s="6">
        <v>3250</v>
      </c>
      <c r="J41" s="6">
        <v>3375</v>
      </c>
      <c r="K41" s="6">
        <v>3500</v>
      </c>
      <c r="L41" s="6">
        <v>3625</v>
      </c>
      <c r="M41" s="6">
        <v>3750</v>
      </c>
      <c r="N41" s="6">
        <v>3875</v>
      </c>
      <c r="O41" s="6">
        <v>4000</v>
      </c>
      <c r="P41" s="6">
        <v>4125</v>
      </c>
      <c r="Q41" s="6">
        <v>4250</v>
      </c>
      <c r="R41" s="6">
        <v>4375</v>
      </c>
      <c r="S41" s="6">
        <v>4500</v>
      </c>
      <c r="T41" s="6">
        <v>4625</v>
      </c>
      <c r="U41" s="6">
        <v>4750</v>
      </c>
      <c r="V41" s="6">
        <v>4875</v>
      </c>
      <c r="W41" s="6">
        <v>5000</v>
      </c>
      <c r="X41" s="6">
        <v>5125</v>
      </c>
      <c r="Y41" s="6">
        <v>5250</v>
      </c>
      <c r="Z41" s="6">
        <v>5375</v>
      </c>
    </row>
    <row r="42" spans="1:26" x14ac:dyDescent="0.3">
      <c r="B42" s="1" t="s">
        <v>25</v>
      </c>
      <c r="C42" s="6">
        <f>C41*20</f>
        <v>50000</v>
      </c>
      <c r="D42" s="6">
        <f t="shared" ref="D42:Z42" si="19">D41*20</f>
        <v>52500</v>
      </c>
      <c r="E42" s="6">
        <f t="shared" si="19"/>
        <v>55000</v>
      </c>
      <c r="F42" s="6">
        <f t="shared" si="19"/>
        <v>57500</v>
      </c>
      <c r="G42" s="6">
        <f t="shared" si="19"/>
        <v>60000</v>
      </c>
      <c r="H42" s="6">
        <f t="shared" si="19"/>
        <v>62500</v>
      </c>
      <c r="I42" s="6">
        <f t="shared" si="19"/>
        <v>65000</v>
      </c>
      <c r="J42" s="6">
        <f t="shared" si="19"/>
        <v>67500</v>
      </c>
      <c r="K42" s="6">
        <f t="shared" si="19"/>
        <v>70000</v>
      </c>
      <c r="L42" s="6">
        <f t="shared" si="19"/>
        <v>72500</v>
      </c>
      <c r="M42" s="6">
        <f t="shared" si="19"/>
        <v>75000</v>
      </c>
      <c r="N42" s="6">
        <f t="shared" si="19"/>
        <v>77500</v>
      </c>
      <c r="O42" s="6">
        <f t="shared" si="19"/>
        <v>80000</v>
      </c>
      <c r="P42" s="6">
        <f t="shared" si="19"/>
        <v>82500</v>
      </c>
      <c r="Q42" s="6">
        <f t="shared" si="19"/>
        <v>85000</v>
      </c>
      <c r="R42" s="6">
        <f t="shared" si="19"/>
        <v>87500</v>
      </c>
      <c r="S42" s="6">
        <f t="shared" si="19"/>
        <v>90000</v>
      </c>
      <c r="T42" s="6">
        <f t="shared" si="19"/>
        <v>92500</v>
      </c>
      <c r="U42" s="6">
        <f t="shared" si="19"/>
        <v>95000</v>
      </c>
      <c r="V42" s="6">
        <f t="shared" si="19"/>
        <v>97500</v>
      </c>
      <c r="W42" s="6">
        <f t="shared" si="19"/>
        <v>100000</v>
      </c>
      <c r="X42" s="6">
        <f t="shared" si="19"/>
        <v>102500</v>
      </c>
      <c r="Y42" s="6">
        <f t="shared" si="19"/>
        <v>105000</v>
      </c>
      <c r="Z42" s="6">
        <f t="shared" si="19"/>
        <v>107500</v>
      </c>
    </row>
    <row r="43" spans="1:26" x14ac:dyDescent="0.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B44" s="2" t="s">
        <v>33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B45" s="1" t="s">
        <v>34</v>
      </c>
      <c r="C45" s="6">
        <v>400000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</row>
    <row r="46" spans="1:26" x14ac:dyDescent="0.3">
      <c r="B46" s="1" t="s">
        <v>11</v>
      </c>
      <c r="C46" s="6">
        <v>10000</v>
      </c>
      <c r="D46" s="6">
        <v>10000</v>
      </c>
      <c r="E46" s="6">
        <v>10000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</row>
    <row r="47" spans="1:26" x14ac:dyDescent="0.3">
      <c r="B47" s="1" t="s">
        <v>12</v>
      </c>
      <c r="C47" s="6">
        <v>5000</v>
      </c>
      <c r="D47" s="6">
        <v>5000</v>
      </c>
      <c r="E47" s="6">
        <v>5000</v>
      </c>
      <c r="F47" s="6">
        <v>5000</v>
      </c>
      <c r="G47" s="6">
        <v>5000</v>
      </c>
      <c r="H47" s="6">
        <v>5000</v>
      </c>
      <c r="I47" s="6">
        <v>5000</v>
      </c>
      <c r="J47" s="6">
        <v>5000</v>
      </c>
      <c r="K47" s="6">
        <v>5000</v>
      </c>
      <c r="L47" s="6">
        <v>5000</v>
      </c>
      <c r="M47" s="6">
        <v>5000</v>
      </c>
      <c r="N47" s="6">
        <v>5000</v>
      </c>
      <c r="O47" s="6">
        <v>5000</v>
      </c>
      <c r="P47" s="6">
        <v>5000</v>
      </c>
      <c r="Q47" s="6">
        <v>5000</v>
      </c>
      <c r="R47" s="6">
        <v>5000</v>
      </c>
      <c r="S47" s="6">
        <v>5000</v>
      </c>
      <c r="T47" s="6">
        <v>5000</v>
      </c>
      <c r="U47" s="6">
        <v>5000</v>
      </c>
      <c r="V47" s="6">
        <v>5000</v>
      </c>
      <c r="W47" s="6">
        <v>5000</v>
      </c>
      <c r="X47" s="6">
        <v>5000</v>
      </c>
      <c r="Y47" s="6">
        <v>5000</v>
      </c>
      <c r="Z47" s="6">
        <v>5000</v>
      </c>
    </row>
    <row r="48" spans="1:26" x14ac:dyDescent="0.3">
      <c r="B48" s="2" t="s">
        <v>35</v>
      </c>
      <c r="C48" s="17">
        <f>SUM(C45:C47)</f>
        <v>415000</v>
      </c>
      <c r="D48" s="17">
        <f t="shared" ref="D48:Z48" si="20">SUM(D45:D47)</f>
        <v>15000</v>
      </c>
      <c r="E48" s="17">
        <f t="shared" si="20"/>
        <v>15000</v>
      </c>
      <c r="F48" s="17">
        <f t="shared" si="20"/>
        <v>5000</v>
      </c>
      <c r="G48" s="17">
        <f t="shared" si="20"/>
        <v>5000</v>
      </c>
      <c r="H48" s="17">
        <f t="shared" si="20"/>
        <v>5000</v>
      </c>
      <c r="I48" s="17">
        <f t="shared" si="20"/>
        <v>5000</v>
      </c>
      <c r="J48" s="17">
        <f t="shared" si="20"/>
        <v>5000</v>
      </c>
      <c r="K48" s="17">
        <f t="shared" si="20"/>
        <v>5000</v>
      </c>
      <c r="L48" s="17">
        <f t="shared" si="20"/>
        <v>5000</v>
      </c>
      <c r="M48" s="17">
        <f t="shared" si="20"/>
        <v>5000</v>
      </c>
      <c r="N48" s="17">
        <f t="shared" si="20"/>
        <v>5000</v>
      </c>
      <c r="O48" s="17">
        <f t="shared" si="20"/>
        <v>5000</v>
      </c>
      <c r="P48" s="17">
        <f t="shared" si="20"/>
        <v>5000</v>
      </c>
      <c r="Q48" s="17">
        <f t="shared" si="20"/>
        <v>5000</v>
      </c>
      <c r="R48" s="17">
        <f t="shared" si="20"/>
        <v>5000</v>
      </c>
      <c r="S48" s="17">
        <f t="shared" si="20"/>
        <v>5000</v>
      </c>
      <c r="T48" s="17">
        <f t="shared" si="20"/>
        <v>5000</v>
      </c>
      <c r="U48" s="17">
        <f t="shared" si="20"/>
        <v>5000</v>
      </c>
      <c r="V48" s="17">
        <f t="shared" si="20"/>
        <v>5000</v>
      </c>
      <c r="W48" s="17">
        <f t="shared" si="20"/>
        <v>5000</v>
      </c>
      <c r="X48" s="17">
        <f t="shared" si="20"/>
        <v>5000</v>
      </c>
      <c r="Y48" s="17">
        <f t="shared" si="20"/>
        <v>5000</v>
      </c>
      <c r="Z48" s="17">
        <f t="shared" si="20"/>
        <v>5000</v>
      </c>
    </row>
    <row r="49" spans="2:26" x14ac:dyDescent="0.3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2:26" ht="15" thickBot="1" x14ac:dyDescent="0.35">
      <c r="B50" s="8" t="s">
        <v>36</v>
      </c>
      <c r="C50" s="18">
        <f>C42-C48</f>
        <v>-365000</v>
      </c>
      <c r="D50" s="10">
        <f t="shared" ref="D50:Z50" si="21">D42-D48</f>
        <v>37500</v>
      </c>
      <c r="E50" s="10">
        <f t="shared" si="21"/>
        <v>40000</v>
      </c>
      <c r="F50" s="10">
        <f t="shared" si="21"/>
        <v>52500</v>
      </c>
      <c r="G50" s="10">
        <f t="shared" si="21"/>
        <v>55000</v>
      </c>
      <c r="H50" s="10">
        <f t="shared" si="21"/>
        <v>57500</v>
      </c>
      <c r="I50" s="10">
        <f t="shared" si="21"/>
        <v>60000</v>
      </c>
      <c r="J50" s="10">
        <f t="shared" si="21"/>
        <v>62500</v>
      </c>
      <c r="K50" s="10">
        <f t="shared" si="21"/>
        <v>65000</v>
      </c>
      <c r="L50" s="10">
        <f t="shared" si="21"/>
        <v>67500</v>
      </c>
      <c r="M50" s="10">
        <f t="shared" si="21"/>
        <v>70000</v>
      </c>
      <c r="N50" s="10">
        <f t="shared" si="21"/>
        <v>72500</v>
      </c>
      <c r="O50" s="10">
        <f t="shared" si="21"/>
        <v>75000</v>
      </c>
      <c r="P50" s="10">
        <f t="shared" si="21"/>
        <v>77500</v>
      </c>
      <c r="Q50" s="10">
        <f t="shared" si="21"/>
        <v>80000</v>
      </c>
      <c r="R50" s="10">
        <f t="shared" si="21"/>
        <v>82500</v>
      </c>
      <c r="S50" s="10">
        <f t="shared" si="21"/>
        <v>85000</v>
      </c>
      <c r="T50" s="10">
        <f t="shared" si="21"/>
        <v>87500</v>
      </c>
      <c r="U50" s="10">
        <f t="shared" si="21"/>
        <v>90000</v>
      </c>
      <c r="V50" s="10">
        <f t="shared" si="21"/>
        <v>92500</v>
      </c>
      <c r="W50" s="10">
        <f t="shared" si="21"/>
        <v>95000</v>
      </c>
      <c r="X50" s="10">
        <f t="shared" si="21"/>
        <v>97500</v>
      </c>
      <c r="Y50" s="10">
        <f t="shared" si="21"/>
        <v>100000</v>
      </c>
      <c r="Z50" s="10">
        <f t="shared" si="21"/>
        <v>102500</v>
      </c>
    </row>
    <row r="51" spans="2:26" ht="15" thickTop="1" x14ac:dyDescent="0.3"/>
    <row r="54" spans="2:26" x14ac:dyDescent="0.3">
      <c r="B54" s="19" t="s">
        <v>50</v>
      </c>
      <c r="C54" s="19" t="s">
        <v>51</v>
      </c>
      <c r="D54" s="19" t="s">
        <v>52</v>
      </c>
    </row>
    <row r="55" spans="2:26" x14ac:dyDescent="0.3">
      <c r="B55"/>
    </row>
    <row r="56" spans="2:26" x14ac:dyDescent="0.3">
      <c r="B56" s="1" t="s">
        <v>53</v>
      </c>
      <c r="C56" s="11">
        <f>SUM(C34:Z34)</f>
        <v>652727.14736696694</v>
      </c>
      <c r="D56" s="1">
        <f>SUM(C50:Z50)</f>
        <v>1340000</v>
      </c>
    </row>
    <row r="58" spans="2:26" x14ac:dyDescent="0.3">
      <c r="B58" s="1" t="s">
        <v>54</v>
      </c>
      <c r="C58" s="16">
        <f>NPV(10%/12,C56)</f>
        <v>647332.70813252917</v>
      </c>
      <c r="D58" s="16">
        <f>NPV(10%/12,D56)</f>
        <v>1328925.6198347108</v>
      </c>
    </row>
    <row r="60" spans="2:26" x14ac:dyDescent="0.3">
      <c r="B60" s="2" t="s">
        <v>51</v>
      </c>
    </row>
    <row r="61" spans="2:26" x14ac:dyDescent="0.3">
      <c r="B61" s="2" t="s">
        <v>55</v>
      </c>
      <c r="C61" s="12">
        <f>C34</f>
        <v>-36000</v>
      </c>
      <c r="D61" s="12">
        <f>C34+D34</f>
        <v>-72000</v>
      </c>
      <c r="E61" s="12">
        <f>D61+E34</f>
        <v>-108000</v>
      </c>
      <c r="F61" s="12">
        <f t="shared" ref="F61" si="22">E34+F34</f>
        <v>-72000</v>
      </c>
      <c r="G61" s="12">
        <f t="shared" ref="G61" si="23">F61+G34</f>
        <v>-108000</v>
      </c>
      <c r="H61" s="12">
        <f t="shared" ref="H61" si="24">G34+H34</f>
        <v>-72000</v>
      </c>
      <c r="I61" s="12">
        <f t="shared" ref="I61" si="25">H61+I34</f>
        <v>-88000</v>
      </c>
      <c r="J61" s="12">
        <f t="shared" ref="J61" si="26">I34+J34</f>
        <v>-29000</v>
      </c>
      <c r="K61" s="12">
        <f t="shared" ref="K61" si="27">J61+K34</f>
        <v>-38550</v>
      </c>
      <c r="L61" s="12">
        <f t="shared" ref="L61" si="28">K34+L34</f>
        <v>-15132.500000000004</v>
      </c>
      <c r="M61" s="12">
        <f t="shared" ref="M61" si="29">L61+M34</f>
        <v>-16152.375000000011</v>
      </c>
      <c r="N61" s="13">
        <f t="shared" ref="N61" si="30">M34+N34</f>
        <v>3207.2687499999811</v>
      </c>
      <c r="O61" s="13">
        <f t="shared" ref="O61" si="31">N61+O34</f>
        <v>13468.484062499971</v>
      </c>
      <c r="P61" s="13">
        <f t="shared" ref="P61" si="32">O34+P34</f>
        <v>27461.612921874977</v>
      </c>
      <c r="Q61" s="13">
        <f t="shared" ref="Q61" si="33">P61+Q34</f>
        <v>52642.070172656204</v>
      </c>
      <c r="R61" s="13">
        <f t="shared" ref="R61" si="34">Q34+R34</f>
        <v>59537.98308917963</v>
      </c>
      <c r="S61" s="13">
        <f t="shared" ref="S61" si="35">R61+S34</f>
        <v>104449.13780333778</v>
      </c>
      <c r="T61" s="13">
        <f t="shared" ref="T61" si="36">S34+T34</f>
        <v>101958.98263544003</v>
      </c>
      <c r="U61" s="13">
        <f t="shared" ref="U61" si="37">T61+U34</f>
        <v>172963.98474491417</v>
      </c>
      <c r="V61" s="13">
        <f t="shared" ref="V61" si="38">U34+V34</f>
        <v>158060.7545353694</v>
      </c>
      <c r="W61" s="13">
        <f t="shared" ref="W61" si="39">V61+W34</f>
        <v>263574.86982514895</v>
      </c>
      <c r="X61" s="13">
        <f t="shared" ref="X61" si="40">W34+X34</f>
        <v>232255.34787302604</v>
      </c>
      <c r="Y61" s="13">
        <f t="shared" ref="Y61" si="41">X61+Y34</f>
        <v>383407.76534375944</v>
      </c>
      <c r="Z61" s="13">
        <f t="shared" ref="Z61" si="42">Y34+Z34</f>
        <v>330377.69756207685</v>
      </c>
    </row>
    <row r="62" spans="2:26" x14ac:dyDescent="0.3"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2:26" x14ac:dyDescent="0.3">
      <c r="B63" s="2" t="s">
        <v>56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2:26" x14ac:dyDescent="0.3">
      <c r="B64" s="2" t="s">
        <v>55</v>
      </c>
      <c r="C64" s="12">
        <f>C50</f>
        <v>-365000</v>
      </c>
      <c r="D64" s="12">
        <f>C64+D50</f>
        <v>-327500</v>
      </c>
      <c r="E64" s="12">
        <f>D64+E50</f>
        <v>-287500</v>
      </c>
      <c r="F64" s="12">
        <f t="shared" ref="F64:Z64" si="43">E64+F50</f>
        <v>-235000</v>
      </c>
      <c r="G64" s="12">
        <f t="shared" si="43"/>
        <v>-180000</v>
      </c>
      <c r="H64" s="12">
        <f t="shared" si="43"/>
        <v>-122500</v>
      </c>
      <c r="I64" s="12">
        <f t="shared" si="43"/>
        <v>-62500</v>
      </c>
      <c r="J64" s="15">
        <f t="shared" si="43"/>
        <v>0</v>
      </c>
      <c r="K64" s="13">
        <f t="shared" si="43"/>
        <v>65000</v>
      </c>
      <c r="L64" s="13">
        <f t="shared" si="43"/>
        <v>132500</v>
      </c>
      <c r="M64" s="13">
        <f t="shared" si="43"/>
        <v>202500</v>
      </c>
      <c r="N64" s="13">
        <f t="shared" si="43"/>
        <v>275000</v>
      </c>
      <c r="O64" s="13">
        <f t="shared" si="43"/>
        <v>350000</v>
      </c>
      <c r="P64" s="13">
        <f t="shared" si="43"/>
        <v>427500</v>
      </c>
      <c r="Q64" s="13">
        <f t="shared" si="43"/>
        <v>507500</v>
      </c>
      <c r="R64" s="13">
        <f t="shared" si="43"/>
        <v>590000</v>
      </c>
      <c r="S64" s="13">
        <f t="shared" si="43"/>
        <v>675000</v>
      </c>
      <c r="T64" s="13">
        <f t="shared" si="43"/>
        <v>762500</v>
      </c>
      <c r="U64" s="13">
        <f t="shared" si="43"/>
        <v>852500</v>
      </c>
      <c r="V64" s="13">
        <f t="shared" si="43"/>
        <v>945000</v>
      </c>
      <c r="W64" s="13">
        <f t="shared" si="43"/>
        <v>1040000</v>
      </c>
      <c r="X64" s="13">
        <f t="shared" si="43"/>
        <v>1137500</v>
      </c>
      <c r="Y64" s="13">
        <f t="shared" si="43"/>
        <v>1237500</v>
      </c>
      <c r="Z64" s="13">
        <f t="shared" si="43"/>
        <v>1340000</v>
      </c>
    </row>
    <row r="81" spans="14:19" x14ac:dyDescent="0.3">
      <c r="N81" s="20"/>
      <c r="O81" s="20"/>
      <c r="P81" s="20"/>
      <c r="Q81" s="20"/>
      <c r="R81" s="20"/>
      <c r="S81" s="20"/>
    </row>
    <row r="82" spans="14:19" x14ac:dyDescent="0.3">
      <c r="N82" s="20" t="s">
        <v>57</v>
      </c>
      <c r="O82" s="20"/>
      <c r="P82" s="20"/>
      <c r="Q82" s="20"/>
      <c r="R82" s="20"/>
      <c r="S82" s="20"/>
    </row>
    <row r="83" spans="14:19" x14ac:dyDescent="0.3">
      <c r="N83" s="20" t="s">
        <v>58</v>
      </c>
      <c r="O83" s="20"/>
      <c r="P83" s="20"/>
      <c r="Q83" s="20"/>
      <c r="R83" s="20"/>
      <c r="S83" s="20"/>
    </row>
  </sheetData>
  <conditionalFormatting sqref="C61:Z6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C64:Z6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Titan (Build vs Buy)</vt:lpstr>
      <vt:lpstr>'Project Titan (Build vs Buy)'!Print_Area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Vishwaradhya Shreegurumath</dc:creator>
  <cp:lastModifiedBy>Vishwaradhya Shreegurumath</cp:lastModifiedBy>
  <dcterms:created xsi:type="dcterms:W3CDTF">2025-12-01T04:28:08Z</dcterms:created>
  <dcterms:modified xsi:type="dcterms:W3CDTF">2025-12-03T02:33:44Z</dcterms:modified>
</cp:coreProperties>
</file>