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aradhya\Downloads\"/>
    </mc:Choice>
  </mc:AlternateContent>
  <xr:revisionPtr revIDLastSave="0" documentId="13_ncr:1_{3DA64E56-3738-4188-A2FF-8F09DDA52159}" xr6:coauthVersionLast="47" xr6:coauthVersionMax="47" xr10:uidLastSave="{00000000-0000-0000-0000-000000000000}"/>
  <bookViews>
    <workbookView xWindow="-108" yWindow="-108" windowWidth="23256" windowHeight="12456" xr2:uid="{B38E7700-753B-4B7D-8222-9FDF86394381}"/>
  </bookViews>
  <sheets>
    <sheet name="Cash Cy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34" i="1" l="1"/>
  <c r="E34" i="1"/>
  <c r="F34" i="1"/>
  <c r="G34" i="1"/>
  <c r="H34" i="1"/>
  <c r="I34" i="1"/>
  <c r="J34" i="1"/>
  <c r="K34" i="1"/>
  <c r="L34" i="1"/>
  <c r="M34" i="1"/>
  <c r="N34" i="1"/>
  <c r="C34" i="1"/>
  <c r="D33" i="1" l="1"/>
  <c r="E33" i="1"/>
  <c r="E35" i="1" s="1"/>
  <c r="F33" i="1"/>
  <c r="G33" i="1"/>
  <c r="H33" i="1"/>
  <c r="I33" i="1"/>
  <c r="J33" i="1"/>
  <c r="K33" i="1"/>
  <c r="C33" i="1"/>
  <c r="C35" i="1" s="1"/>
  <c r="F35" i="1"/>
  <c r="D35" i="1"/>
  <c r="N33" i="1"/>
  <c r="M33" i="1"/>
  <c r="L33" i="1"/>
  <c r="G35" i="1"/>
  <c r="H35" i="1" s="1"/>
  <c r="C22" i="1"/>
  <c r="N26" i="1"/>
  <c r="M26" i="1"/>
  <c r="L26" i="1"/>
  <c r="K26" i="1"/>
  <c r="J26" i="1"/>
  <c r="I26" i="1"/>
  <c r="H26" i="1"/>
  <c r="G26" i="1"/>
  <c r="F26" i="1"/>
  <c r="D26" i="1"/>
  <c r="C26" i="1"/>
  <c r="G25" i="1"/>
  <c r="N23" i="1"/>
  <c r="M23" i="1"/>
  <c r="L23" i="1"/>
  <c r="K23" i="1"/>
  <c r="J23" i="1"/>
  <c r="I23" i="1"/>
  <c r="H23" i="1"/>
  <c r="G23" i="1"/>
  <c r="F23" i="1"/>
  <c r="E23" i="1"/>
  <c r="D23" i="1"/>
  <c r="C23" i="1"/>
  <c r="N22" i="1"/>
  <c r="N25" i="1" s="1"/>
  <c r="M22" i="1"/>
  <c r="M25" i="1" s="1"/>
  <c r="L22" i="1"/>
  <c r="L25" i="1" s="1"/>
  <c r="K22" i="1"/>
  <c r="K25" i="1" s="1"/>
  <c r="J22" i="1"/>
  <c r="J24" i="1" s="1"/>
  <c r="I22" i="1"/>
  <c r="I24" i="1" s="1"/>
  <c r="H22" i="1"/>
  <c r="H24" i="1" s="1"/>
  <c r="G22" i="1"/>
  <c r="F22" i="1"/>
  <c r="F25" i="1" s="1"/>
  <c r="E22" i="1"/>
  <c r="E25" i="1" s="1"/>
  <c r="D22" i="1"/>
  <c r="D25" i="1" s="1"/>
  <c r="C25" i="1"/>
  <c r="I35" i="1" l="1"/>
  <c r="J35" i="1" s="1"/>
  <c r="K35" i="1" s="1"/>
  <c r="L35" i="1" s="1"/>
  <c r="M35" i="1" s="1"/>
  <c r="N35" i="1" s="1"/>
  <c r="G24" i="1"/>
  <c r="G28" i="1" s="1"/>
  <c r="D24" i="1"/>
  <c r="D28" i="1" s="1"/>
  <c r="L24" i="1"/>
  <c r="L28" i="1" s="1"/>
  <c r="H25" i="1"/>
  <c r="H28" i="1" s="1"/>
  <c r="E24" i="1"/>
  <c r="E28" i="1" s="1"/>
  <c r="M24" i="1"/>
  <c r="M28" i="1" s="1"/>
  <c r="I25" i="1"/>
  <c r="I28" i="1" s="1"/>
  <c r="K24" i="1"/>
  <c r="K28" i="1" s="1"/>
  <c r="F24" i="1"/>
  <c r="F28" i="1" s="1"/>
  <c r="N24" i="1"/>
  <c r="N28" i="1" s="1"/>
  <c r="J25" i="1"/>
  <c r="J28" i="1" s="1"/>
  <c r="C24" i="1"/>
  <c r="C28" i="1" s="1"/>
</calcChain>
</file>

<file path=xl/sharedStrings.xml><?xml version="1.0" encoding="utf-8"?>
<sst xmlns="http://schemas.openxmlformats.org/spreadsheetml/2006/main" count="69" uniqueCount="44">
  <si>
    <t>The Inputs</t>
  </si>
  <si>
    <t>Metric</t>
  </si>
  <si>
    <t>Value</t>
  </si>
  <si>
    <t>Price per pair (AOV)</t>
  </si>
  <si>
    <t>$120.00</t>
  </si>
  <si>
    <t>Product Cost (COGS)</t>
  </si>
  <si>
    <t>$40.00</t>
  </si>
  <si>
    <t>Shipping Cost</t>
  </si>
  <si>
    <t>$10.00</t>
  </si>
  <si>
    <t>ROAS (Ad Efficiency)</t>
  </si>
  <si>
    <t>4.0x</t>
  </si>
  <si>
    <t>Fixed OpEx</t>
  </si>
  <si>
    <t>$20000</t>
  </si>
  <si>
    <t>Inventory Lead Time</t>
  </si>
  <si>
    <t>3 months</t>
  </si>
  <si>
    <t>Starting Cash</t>
  </si>
  <si>
    <t>$100000</t>
  </si>
  <si>
    <t xml:space="preserve">Sales Forecast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</si>
  <si>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</si>
  <si>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</si>
  <si>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</si>
  <si>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</si>
  <si>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</si>
  <si>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</si>
  <si>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</si>
  <si>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</si>
  <si>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</si>
  <si>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</si>
  <si>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</si>
  <si>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</si>
  <si>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Projected Orders</t>
  </si>
  <si>
    <t>Income Statement</t>
  </si>
  <si>
    <t>Revenue</t>
  </si>
  <si>
    <t>Acct. COGS</t>
  </si>
  <si>
    <t>Gross Profit</t>
  </si>
  <si>
    <t>Marketing Spend</t>
  </si>
  <si>
    <t>Shipping</t>
  </si>
  <si>
    <t>Net Income</t>
  </si>
  <si>
    <t>Cash Flow Analysis</t>
  </si>
  <si>
    <t>Inventory Cash Out</t>
  </si>
  <si>
    <t>Net Cash Flow</t>
  </si>
  <si>
    <t>Cash Balance</t>
  </si>
  <si>
    <t>Created By : Vishwaradhya Ms | FP&amp;A Startup Finance Analyst</t>
  </si>
  <si>
    <t xml:space="preserve">Model created manually for demonstration purpose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</si>
</sst>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;\(0.00\)"/>
  </numFmts>
  <fonts count="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3" tint="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2" borderId="0" xfId="0" applyFont="1" applyFill="1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0" fontId="0" fillId="0" borderId="0" xfId="0" applyAlignment="1">
      <alignment horizontal="left" vertical="top"/>
    </xf>
    <xf numFmtId="165" fontId="0" fillId="0" borderId="0" xfId="0" applyNumberFormat="1"/>
    <xf numFmtId="165" fontId="2" fillId="0" borderId="2" xfId="0" applyNumberFormat="1" applyFont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16EB-C585-4E59-A119-B249DDDE4D4F}">
  <dimension ref="B3:T49"/>
  <sheetViews>
    <sheetView showGridLines="0" tabSelected="1" topLeftCell="A25" workbookViewId="0">
      <selection activeCell="O42" sqref="O42"/>
    </sheetView>
  </sheetViews>
  <sheetFormatPr defaultRowHeight="14.4" x14ac:dyDescent="0.3"/>
  <cols>
    <col min="1" max="1" width="2.77734375" customWidth="1"/>
    <col min="2" max="2" width="19.88671875" customWidth="1"/>
    <col min="3" max="3" width="14.109375" customWidth="1"/>
    <col min="4" max="14" width="12.77734375" customWidth="1"/>
  </cols>
  <sheetData>
    <row r="3" spans="2:14" x14ac:dyDescent="0.3">
      <c r="B3" s="1" t="s">
        <v>0</v>
      </c>
    </row>
    <row r="5" spans="2:14" x14ac:dyDescent="0.3">
      <c r="B5" s="2" t="s">
        <v>1</v>
      </c>
      <c r="C5" s="1" t="s">
        <v>2</v>
      </c>
    </row>
    <row r="6" spans="2:14" x14ac:dyDescent="0.3">
      <c r="B6" t="s">
        <v>3</v>
      </c>
      <c r="C6" s="3" t="s">
        <v>4</v>
      </c>
    </row>
    <row r="7" spans="2:14" x14ac:dyDescent="0.3">
      <c r="B7" t="s">
        <v>5</v>
      </c>
      <c r="C7" s="3" t="s">
        <v>6</v>
      </c>
    </row>
    <row r="8" spans="2:14" x14ac:dyDescent="0.3">
      <c r="B8" t="s">
        <v>7</v>
      </c>
      <c r="C8" s="3" t="s">
        <v>8</v>
      </c>
    </row>
    <row r="9" spans="2:14" x14ac:dyDescent="0.3">
      <c r="B9" t="s">
        <v>9</v>
      </c>
      <c r="C9" s="3" t="s">
        <v>10</v>
      </c>
    </row>
    <row r="10" spans="2:14" x14ac:dyDescent="0.3">
      <c r="B10" t="s">
        <v>11</v>
      </c>
      <c r="C10" s="3" t="s">
        <v>12</v>
      </c>
    </row>
    <row r="11" spans="2:14" x14ac:dyDescent="0.3">
      <c r="B11" t="s">
        <v>13</v>
      </c>
      <c r="C11" s="3" t="s">
        <v>14</v>
      </c>
    </row>
    <row r="12" spans="2:14" x14ac:dyDescent="0.3">
      <c r="B12" t="s">
        <v>15</v>
      </c>
      <c r="C12" s="3" t="s">
        <v>16</v>
      </c>
    </row>
    <row r="15" spans="2:14" x14ac:dyDescent="0.3"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22</v>
      </c>
      <c r="H15" s="4" t="s">
        <v>23</v>
      </c>
      <c r="I15" s="4" t="s">
        <v>24</v>
      </c>
      <c r="J15" s="4" t="s">
        <v>25</v>
      </c>
      <c r="K15" s="4" t="s">
        <v>26</v>
      </c>
      <c r="L15" s="4" t="s">
        <v>27</v>
      </c>
      <c r="M15" s="4" t="s">
        <v>28</v>
      </c>
      <c r="N15" s="4" t="s">
        <v>29</v>
      </c>
    </row>
    <row r="16" spans="2:14" x14ac:dyDescent="0.3">
      <c r="B16" s="2" t="s">
        <v>30</v>
      </c>
      <c r="C16" s="2">
        <v>500</v>
      </c>
      <c r="D16" s="2">
        <v>500</v>
      </c>
      <c r="E16" s="2">
        <v>600</v>
      </c>
      <c r="F16" s="2">
        <v>800</v>
      </c>
      <c r="G16" s="2">
        <v>1000</v>
      </c>
      <c r="H16" s="2">
        <v>1200</v>
      </c>
      <c r="I16" s="2">
        <v>1200</v>
      </c>
      <c r="J16" s="2">
        <v>1500</v>
      </c>
      <c r="K16" s="2">
        <v>2000</v>
      </c>
      <c r="L16" s="2">
        <v>2500</v>
      </c>
      <c r="M16" s="2">
        <v>5000</v>
      </c>
      <c r="N16" s="2">
        <v>6000</v>
      </c>
    </row>
    <row r="17" spans="2:14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21" spans="2:14" x14ac:dyDescent="0.3">
      <c r="B21" s="4" t="s">
        <v>31</v>
      </c>
      <c r="C21" s="4" t="s">
        <v>18</v>
      </c>
      <c r="D21" s="4" t="s">
        <v>19</v>
      </c>
      <c r="E21" s="4" t="s">
        <v>20</v>
      </c>
      <c r="F21" s="4" t="s">
        <v>21</v>
      </c>
      <c r="G21" s="4" t="s">
        <v>22</v>
      </c>
      <c r="H21" s="4" t="s">
        <v>23</v>
      </c>
      <c r="I21" s="4" t="s">
        <v>24</v>
      </c>
      <c r="J21" s="4" t="s">
        <v>25</v>
      </c>
      <c r="K21" s="4" t="s">
        <v>26</v>
      </c>
      <c r="L21" s="4" t="s">
        <v>27</v>
      </c>
      <c r="M21" s="4" t="s">
        <v>28</v>
      </c>
      <c r="N21" s="4" t="s">
        <v>29</v>
      </c>
    </row>
    <row r="22" spans="2:14" x14ac:dyDescent="0.3">
      <c r="B22" t="s">
        <v>32</v>
      </c>
      <c r="C22" s="5">
        <f>C16*120</f>
        <v>60000</v>
      </c>
      <c r="D22" s="5">
        <f t="shared" ref="D22:N22" si="0">D16*120</f>
        <v>60000</v>
      </c>
      <c r="E22" s="5">
        <f t="shared" si="0"/>
        <v>72000</v>
      </c>
      <c r="F22" s="5">
        <f t="shared" si="0"/>
        <v>96000</v>
      </c>
      <c r="G22" s="5">
        <f t="shared" si="0"/>
        <v>120000</v>
      </c>
      <c r="H22" s="5">
        <f t="shared" si="0"/>
        <v>144000</v>
      </c>
      <c r="I22" s="5">
        <f t="shared" si="0"/>
        <v>144000</v>
      </c>
      <c r="J22" s="5">
        <f t="shared" si="0"/>
        <v>180000</v>
      </c>
      <c r="K22" s="5">
        <f t="shared" si="0"/>
        <v>240000</v>
      </c>
      <c r="L22" s="5">
        <f t="shared" si="0"/>
        <v>300000</v>
      </c>
      <c r="M22" s="5">
        <f t="shared" si="0"/>
        <v>600000</v>
      </c>
      <c r="N22" s="5">
        <f t="shared" si="0"/>
        <v>720000</v>
      </c>
    </row>
    <row r="23" spans="2:14" x14ac:dyDescent="0.3">
      <c r="B23" t="s">
        <v>33</v>
      </c>
      <c r="C23" s="5">
        <f>C16*40</f>
        <v>20000</v>
      </c>
      <c r="D23" s="5">
        <f t="shared" ref="D23:N23" si="1">D16*40</f>
        <v>20000</v>
      </c>
      <c r="E23" s="5">
        <f t="shared" si="1"/>
        <v>24000</v>
      </c>
      <c r="F23" s="5">
        <f t="shared" si="1"/>
        <v>32000</v>
      </c>
      <c r="G23" s="5">
        <f t="shared" si="1"/>
        <v>40000</v>
      </c>
      <c r="H23" s="5">
        <f t="shared" si="1"/>
        <v>48000</v>
      </c>
      <c r="I23" s="5">
        <f t="shared" si="1"/>
        <v>48000</v>
      </c>
      <c r="J23" s="5">
        <f t="shared" si="1"/>
        <v>60000</v>
      </c>
      <c r="K23" s="5">
        <f t="shared" si="1"/>
        <v>80000</v>
      </c>
      <c r="L23" s="5">
        <f t="shared" si="1"/>
        <v>100000</v>
      </c>
      <c r="M23" s="5">
        <f t="shared" si="1"/>
        <v>200000</v>
      </c>
      <c r="N23" s="5">
        <f t="shared" si="1"/>
        <v>240000</v>
      </c>
    </row>
    <row r="24" spans="2:14" x14ac:dyDescent="0.3">
      <c r="B24" s="6" t="s">
        <v>34</v>
      </c>
      <c r="C24" s="7">
        <f>C22-C23</f>
        <v>40000</v>
      </c>
      <c r="D24" s="7">
        <f t="shared" ref="D24:N24" si="2">D22-D23</f>
        <v>40000</v>
      </c>
      <c r="E24" s="7">
        <f t="shared" si="2"/>
        <v>48000</v>
      </c>
      <c r="F24" s="7">
        <f t="shared" si="2"/>
        <v>64000</v>
      </c>
      <c r="G24" s="7">
        <f t="shared" si="2"/>
        <v>80000</v>
      </c>
      <c r="H24" s="7">
        <f t="shared" si="2"/>
        <v>96000</v>
      </c>
      <c r="I24" s="7">
        <f t="shared" si="2"/>
        <v>96000</v>
      </c>
      <c r="J24" s="7">
        <f t="shared" si="2"/>
        <v>120000</v>
      </c>
      <c r="K24" s="7">
        <f t="shared" si="2"/>
        <v>160000</v>
      </c>
      <c r="L24" s="7">
        <f t="shared" si="2"/>
        <v>200000</v>
      </c>
      <c r="M24" s="7">
        <f t="shared" si="2"/>
        <v>400000</v>
      </c>
      <c r="N24" s="7">
        <f t="shared" si="2"/>
        <v>480000</v>
      </c>
    </row>
    <row r="25" spans="2:14" x14ac:dyDescent="0.3">
      <c r="B25" t="s">
        <v>35</v>
      </c>
      <c r="C25" s="5">
        <f>C22/4</f>
        <v>15000</v>
      </c>
      <c r="D25" s="5">
        <f t="shared" ref="D25:N25" si="3">D22/4</f>
        <v>15000</v>
      </c>
      <c r="E25" s="5">
        <f t="shared" si="3"/>
        <v>18000</v>
      </c>
      <c r="F25" s="5">
        <f t="shared" si="3"/>
        <v>24000</v>
      </c>
      <c r="G25" s="5">
        <f t="shared" si="3"/>
        <v>30000</v>
      </c>
      <c r="H25" s="5">
        <f t="shared" si="3"/>
        <v>36000</v>
      </c>
      <c r="I25" s="5">
        <f t="shared" si="3"/>
        <v>36000</v>
      </c>
      <c r="J25" s="5">
        <f t="shared" si="3"/>
        <v>45000</v>
      </c>
      <c r="K25" s="5">
        <f t="shared" si="3"/>
        <v>60000</v>
      </c>
      <c r="L25" s="5">
        <f t="shared" si="3"/>
        <v>75000</v>
      </c>
      <c r="M25" s="5">
        <f t="shared" si="3"/>
        <v>150000</v>
      </c>
      <c r="N25" s="5">
        <f t="shared" si="3"/>
        <v>180000</v>
      </c>
    </row>
    <row r="26" spans="2:14" x14ac:dyDescent="0.3">
      <c r="B26" t="s">
        <v>36</v>
      </c>
      <c r="C26" s="5">
        <f>C16*10</f>
        <v>5000</v>
      </c>
      <c r="D26" s="5">
        <f t="shared" ref="D26:N26" si="4">D16*10</f>
        <v>5000</v>
      </c>
      <c r="E26" s="5">
        <f>E16*10</f>
        <v>6000</v>
      </c>
      <c r="F26" s="5">
        <f t="shared" si="4"/>
        <v>8000</v>
      </c>
      <c r="G26" s="5">
        <f t="shared" si="4"/>
        <v>10000</v>
      </c>
      <c r="H26" s="5">
        <f t="shared" si="4"/>
        <v>12000</v>
      </c>
      <c r="I26" s="5">
        <f t="shared" si="4"/>
        <v>12000</v>
      </c>
      <c r="J26" s="5">
        <f t="shared" si="4"/>
        <v>15000</v>
      </c>
      <c r="K26" s="5">
        <f t="shared" si="4"/>
        <v>20000</v>
      </c>
      <c r="L26" s="5">
        <f t="shared" si="4"/>
        <v>25000</v>
      </c>
      <c r="M26" s="5">
        <f t="shared" si="4"/>
        <v>50000</v>
      </c>
      <c r="N26" s="5">
        <f t="shared" si="4"/>
        <v>60000</v>
      </c>
    </row>
    <row r="27" spans="2:14" x14ac:dyDescent="0.3">
      <c r="B27" t="s">
        <v>11</v>
      </c>
      <c r="C27" s="5">
        <v>20000</v>
      </c>
      <c r="D27" s="5">
        <v>20000</v>
      </c>
      <c r="E27" s="5">
        <v>20000</v>
      </c>
      <c r="F27" s="5">
        <v>20000</v>
      </c>
      <c r="G27" s="5">
        <v>20000</v>
      </c>
      <c r="H27" s="5">
        <v>20000</v>
      </c>
      <c r="I27" s="5">
        <v>20000</v>
      </c>
      <c r="J27" s="5">
        <v>20000</v>
      </c>
      <c r="K27" s="5">
        <v>20000</v>
      </c>
      <c r="L27" s="5">
        <v>20000</v>
      </c>
      <c r="M27" s="5">
        <v>20000</v>
      </c>
      <c r="N27" s="5">
        <v>20000</v>
      </c>
    </row>
    <row r="28" spans="2:14" ht="15" thickBot="1" x14ac:dyDescent="0.35">
      <c r="B28" s="8" t="s">
        <v>37</v>
      </c>
      <c r="C28" s="9">
        <f>C24-C25-C26-C27</f>
        <v>0</v>
      </c>
      <c r="D28" s="9">
        <f t="shared" ref="D28:N28" si="5">D24-D25-D26-D27</f>
        <v>0</v>
      </c>
      <c r="E28" s="9">
        <f t="shared" si="5"/>
        <v>4000</v>
      </c>
      <c r="F28" s="9">
        <f t="shared" si="5"/>
        <v>12000</v>
      </c>
      <c r="G28" s="9">
        <f t="shared" si="5"/>
        <v>20000</v>
      </c>
      <c r="H28" s="9">
        <f t="shared" si="5"/>
        <v>28000</v>
      </c>
      <c r="I28" s="9">
        <f t="shared" si="5"/>
        <v>28000</v>
      </c>
      <c r="J28" s="9">
        <f t="shared" si="5"/>
        <v>40000</v>
      </c>
      <c r="K28" s="9">
        <f t="shared" si="5"/>
        <v>60000</v>
      </c>
      <c r="L28" s="9">
        <f t="shared" si="5"/>
        <v>80000</v>
      </c>
      <c r="M28" s="9">
        <f t="shared" si="5"/>
        <v>180000</v>
      </c>
      <c r="N28" s="9">
        <f t="shared" si="5"/>
        <v>220000</v>
      </c>
    </row>
    <row r="29" spans="2:14" ht="15" thickTop="1" x14ac:dyDescent="0.3"/>
    <row r="31" spans="2:14" x14ac:dyDescent="0.3">
      <c r="B31" s="4" t="s">
        <v>38</v>
      </c>
      <c r="C31" s="4" t="s">
        <v>18</v>
      </c>
      <c r="D31" s="4" t="s">
        <v>19</v>
      </c>
      <c r="E31" s="4" t="s">
        <v>20</v>
      </c>
      <c r="F31" s="4" t="s">
        <v>21</v>
      </c>
      <c r="G31" s="4" t="s">
        <v>22</v>
      </c>
      <c r="H31" s="4" t="s">
        <v>23</v>
      </c>
      <c r="I31" s="4" t="s">
        <v>24</v>
      </c>
      <c r="J31" s="4" t="s">
        <v>25</v>
      </c>
      <c r="K31" s="4" t="s">
        <v>26</v>
      </c>
      <c r="L31" s="4" t="s">
        <v>27</v>
      </c>
      <c r="M31" s="4" t="s">
        <v>28</v>
      </c>
      <c r="N31" s="4" t="s">
        <v>29</v>
      </c>
    </row>
    <row r="33" spans="2:20" x14ac:dyDescent="0.3">
      <c r="B33" s="10" t="s">
        <v>39</v>
      </c>
      <c r="C33" s="5">
        <f>F16*40</f>
        <v>32000</v>
      </c>
      <c r="D33" s="5">
        <f t="shared" ref="D33:K33" si="6">G16*40</f>
        <v>40000</v>
      </c>
      <c r="E33" s="5">
        <f t="shared" si="6"/>
        <v>48000</v>
      </c>
      <c r="F33" s="5">
        <f t="shared" si="6"/>
        <v>48000</v>
      </c>
      <c r="G33" s="5">
        <f t="shared" si="6"/>
        <v>60000</v>
      </c>
      <c r="H33" s="5">
        <f t="shared" si="6"/>
        <v>80000</v>
      </c>
      <c r="I33" s="5">
        <f t="shared" si="6"/>
        <v>100000</v>
      </c>
      <c r="J33" s="5">
        <f t="shared" si="6"/>
        <v>200000</v>
      </c>
      <c r="K33" s="5">
        <f t="shared" si="6"/>
        <v>240000</v>
      </c>
      <c r="L33" s="5">
        <f>1000*40</f>
        <v>40000</v>
      </c>
      <c r="M33" s="5">
        <f t="shared" ref="M33:N33" si="7">1000*40</f>
        <v>40000</v>
      </c>
      <c r="N33" s="5">
        <f t="shared" si="7"/>
        <v>40000</v>
      </c>
    </row>
    <row r="34" spans="2:20" x14ac:dyDescent="0.3">
      <c r="B34" t="s">
        <v>40</v>
      </c>
      <c r="C34" s="11">
        <f>(C28+C23)-C33</f>
        <v>-12000</v>
      </c>
      <c r="D34" s="11">
        <f t="shared" ref="D34:N34" si="8">(D28+D23)-D33</f>
        <v>-20000</v>
      </c>
      <c r="E34" s="11">
        <f t="shared" si="8"/>
        <v>-20000</v>
      </c>
      <c r="F34" s="11">
        <f t="shared" si="8"/>
        <v>-4000</v>
      </c>
      <c r="G34" s="11">
        <f t="shared" si="8"/>
        <v>0</v>
      </c>
      <c r="H34" s="11">
        <f t="shared" si="8"/>
        <v>-4000</v>
      </c>
      <c r="I34" s="11">
        <f t="shared" si="8"/>
        <v>-24000</v>
      </c>
      <c r="J34" s="11">
        <f t="shared" si="8"/>
        <v>-100000</v>
      </c>
      <c r="K34" s="11">
        <f t="shared" si="8"/>
        <v>-100000</v>
      </c>
      <c r="L34" s="11">
        <f t="shared" si="8"/>
        <v>140000</v>
      </c>
      <c r="M34" s="11">
        <f t="shared" si="8"/>
        <v>340000</v>
      </c>
      <c r="N34" s="11">
        <f t="shared" si="8"/>
        <v>420000</v>
      </c>
    </row>
    <row r="35" spans="2:20" ht="15" thickBot="1" x14ac:dyDescent="0.35">
      <c r="B35" s="8" t="s">
        <v>41</v>
      </c>
      <c r="C35" s="9">
        <f>100000+C34</f>
        <v>88000</v>
      </c>
      <c r="D35" s="9">
        <f>88000+D34</f>
        <v>68000</v>
      </c>
      <c r="E35" s="9">
        <f>68000+E34</f>
        <v>48000</v>
      </c>
      <c r="F35" s="9">
        <f>48000+F34</f>
        <v>44000</v>
      </c>
      <c r="G35" s="9">
        <f>44000+G34</f>
        <v>44000</v>
      </c>
      <c r="H35" s="9">
        <f t="shared" ref="H35:N35" si="9">G35+H34</f>
        <v>40000</v>
      </c>
      <c r="I35" s="9">
        <f t="shared" si="9"/>
        <v>16000</v>
      </c>
      <c r="J35" s="12">
        <f t="shared" si="9"/>
        <v>-84000</v>
      </c>
      <c r="K35" s="12">
        <f t="shared" si="9"/>
        <v>-184000</v>
      </c>
      <c r="L35" s="12">
        <f t="shared" si="9"/>
        <v>-44000</v>
      </c>
      <c r="M35" s="9">
        <f t="shared" si="9"/>
        <v>296000</v>
      </c>
      <c r="N35" s="9">
        <f t="shared" si="9"/>
        <v>716000</v>
      </c>
    </row>
    <row r="36" spans="2:20" ht="15" thickTop="1" x14ac:dyDescent="0.3"/>
    <row r="47" spans="2:20" x14ac:dyDescent="0.3">
      <c r="O47" s="13"/>
      <c r="P47" s="13"/>
      <c r="Q47" s="13"/>
      <c r="R47" s="13"/>
      <c r="S47" s="13"/>
      <c r="T47" s="13"/>
    </row>
    <row r="48" spans="2:20" x14ac:dyDescent="0.3">
      <c r="O48" s="13" t="s">
        <v>42</v>
      </c>
      <c r="P48" s="13"/>
      <c r="Q48" s="13"/>
      <c r="R48" s="13"/>
      <c r="S48" s="13"/>
      <c r="T48" s="13"/>
    </row>
    <row r="49" spans="15:20" x14ac:dyDescent="0.3">
      <c r="O49" s="13" t="s">
        <v>43</v>
      </c>
      <c r="P49" s="13"/>
      <c r="Q49" s="13"/>
      <c r="R49" s="13"/>
      <c r="S49" s="13"/>
      <c r="T4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Shreegurumath</dc:creator>
  <cp:lastModifiedBy>Vishwaradhya Shreegurumath</cp:lastModifiedBy>
  <dcterms:created xsi:type="dcterms:W3CDTF">2025-12-03T01:51:29Z</dcterms:created>
  <dcterms:modified xsi:type="dcterms:W3CDTF">2025-12-03T02:33:30Z</dcterms:modified>
</cp:coreProperties>
</file>