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waradhya\Downloads\"/>
    </mc:Choice>
  </mc:AlternateContent>
  <xr:revisionPtr revIDLastSave="0" documentId="13_ncr:1_{E5BDF70F-BAF9-432F-848D-E46B72757E29}" xr6:coauthVersionLast="47" xr6:coauthVersionMax="47" xr10:uidLastSave="{00000000-0000-0000-0000-000000000000}"/>
  <bookViews>
    <workbookView xWindow="-108" yWindow="-108" windowWidth="23256" windowHeight="12456" tabRatio="599" activeTab="1" xr2:uid="{E64748C3-4435-458C-B5CA-35B2B0E52C93}"/>
  </bookViews>
  <sheets>
    <sheet name="Statements" sheetId="1" r:id="rId1"/>
    <sheet name="KPI'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2" l="1"/>
  <c r="G24" i="2" s="1"/>
  <c r="C21" i="2"/>
  <c r="C24" i="2" s="1"/>
  <c r="D32" i="2"/>
  <c r="E32" i="2"/>
  <c r="F32" i="2"/>
  <c r="G32" i="2"/>
  <c r="H32" i="2"/>
  <c r="I32" i="2"/>
  <c r="J32" i="2"/>
  <c r="K32" i="2"/>
  <c r="L32" i="2"/>
  <c r="M32" i="2"/>
  <c r="N32" i="2"/>
  <c r="C32" i="2"/>
  <c r="E47" i="1"/>
  <c r="F47" i="1"/>
  <c r="G47" i="1"/>
  <c r="H47" i="1"/>
  <c r="I47" i="1"/>
  <c r="J47" i="1"/>
  <c r="K47" i="1"/>
  <c r="L47" i="1"/>
  <c r="M47" i="1"/>
  <c r="N47" i="1"/>
  <c r="O47" i="1"/>
  <c r="D47" i="1"/>
  <c r="D18" i="2"/>
  <c r="D21" i="2" s="1"/>
  <c r="D24" i="2" s="1"/>
  <c r="E18" i="2"/>
  <c r="E21" i="2" s="1"/>
  <c r="E24" i="2" s="1"/>
  <c r="F18" i="2"/>
  <c r="F21" i="2" s="1"/>
  <c r="F24" i="2" s="1"/>
  <c r="G18" i="2"/>
  <c r="H18" i="2"/>
  <c r="H21" i="2" s="1"/>
  <c r="H24" i="2" s="1"/>
  <c r="I18" i="2"/>
  <c r="I21" i="2" s="1"/>
  <c r="I24" i="2" s="1"/>
  <c r="J18" i="2"/>
  <c r="J21" i="2" s="1"/>
  <c r="J24" i="2" s="1"/>
  <c r="K18" i="2"/>
  <c r="K21" i="2" s="1"/>
  <c r="K24" i="2" s="1"/>
  <c r="L18" i="2"/>
  <c r="L21" i="2" s="1"/>
  <c r="L24" i="2" s="1"/>
  <c r="M18" i="2"/>
  <c r="M21" i="2" s="1"/>
  <c r="M24" i="2" s="1"/>
  <c r="N18" i="2"/>
  <c r="N21" i="2" s="1"/>
  <c r="N24" i="2" s="1"/>
  <c r="C18" i="2"/>
  <c r="D15" i="2"/>
  <c r="E15" i="2"/>
  <c r="F15" i="2"/>
  <c r="G15" i="2"/>
  <c r="H15" i="2"/>
  <c r="I15" i="2"/>
  <c r="J15" i="2"/>
  <c r="K15" i="2"/>
  <c r="L15" i="2"/>
  <c r="M15" i="2"/>
  <c r="N15" i="2"/>
  <c r="C15" i="2"/>
  <c r="E22" i="1"/>
  <c r="F22" i="1"/>
  <c r="G22" i="1"/>
  <c r="H22" i="1"/>
  <c r="H24" i="1" s="1"/>
  <c r="I22" i="1"/>
  <c r="I24" i="1" s="1"/>
  <c r="J22" i="1"/>
  <c r="J24" i="1" s="1"/>
  <c r="K22" i="1"/>
  <c r="K24" i="1" s="1"/>
  <c r="L22" i="1"/>
  <c r="M22" i="1"/>
  <c r="N22" i="1"/>
  <c r="O22" i="1"/>
  <c r="D22" i="1"/>
  <c r="E24" i="1"/>
  <c r="F24" i="1"/>
  <c r="G24" i="1"/>
  <c r="L24" i="1"/>
  <c r="M24" i="1"/>
  <c r="N24" i="1"/>
  <c r="O24" i="1"/>
  <c r="D24" i="1"/>
  <c r="F44" i="1"/>
  <c r="E44" i="1"/>
  <c r="F42" i="1"/>
  <c r="G42" i="1"/>
  <c r="G44" i="1" s="1"/>
  <c r="H42" i="1" s="1"/>
  <c r="H44" i="1" s="1"/>
  <c r="I42" i="1" s="1"/>
  <c r="I44" i="1" s="1"/>
  <c r="J42" i="1" s="1"/>
  <c r="J44" i="1" s="1"/>
  <c r="K42" i="1" s="1"/>
  <c r="K44" i="1" s="1"/>
  <c r="L42" i="1" s="1"/>
  <c r="L44" i="1" s="1"/>
  <c r="M42" i="1" s="1"/>
  <c r="M44" i="1" s="1"/>
  <c r="N42" i="1" s="1"/>
  <c r="N44" i="1" s="1"/>
  <c r="O42" i="1" s="1"/>
  <c r="O44" i="1" s="1"/>
  <c r="E42" i="1"/>
  <c r="D44" i="1"/>
  <c r="E39" i="1"/>
  <c r="F39" i="1"/>
  <c r="G39" i="1"/>
  <c r="H39" i="1"/>
  <c r="I39" i="1"/>
  <c r="J39" i="1"/>
  <c r="K39" i="1"/>
  <c r="L39" i="1"/>
  <c r="M39" i="1"/>
  <c r="N39" i="1"/>
  <c r="O39" i="1"/>
  <c r="D39" i="1"/>
  <c r="J34" i="1"/>
  <c r="E23" i="1"/>
  <c r="E34" i="1" s="1"/>
  <c r="F23" i="1"/>
  <c r="F34" i="1" s="1"/>
  <c r="G23" i="1"/>
  <c r="H34" i="1" s="1"/>
  <c r="H23" i="1"/>
  <c r="I23" i="1"/>
  <c r="I34" i="1" s="1"/>
  <c r="J23" i="1"/>
  <c r="K23" i="1"/>
  <c r="K34" i="1" s="1"/>
  <c r="L23" i="1"/>
  <c r="M23" i="1"/>
  <c r="M34" i="1" s="1"/>
  <c r="N23" i="1"/>
  <c r="N34" i="1" s="1"/>
  <c r="O23" i="1"/>
  <c r="O34" i="1" s="1"/>
  <c r="D23" i="1"/>
  <c r="D34" i="1" s="1"/>
  <c r="F17" i="1"/>
  <c r="F33" i="1" s="1"/>
  <c r="J17" i="1"/>
  <c r="J33" i="1" s="1"/>
  <c r="L17" i="1"/>
  <c r="L33" i="1" s="1"/>
  <c r="N17" i="1"/>
  <c r="N33" i="1" s="1"/>
  <c r="E7" i="1"/>
  <c r="E12" i="1" s="1"/>
  <c r="E15" i="1" s="1"/>
  <c r="F7" i="1"/>
  <c r="F12" i="1" s="1"/>
  <c r="F15" i="1" s="1"/>
  <c r="G7" i="1"/>
  <c r="G17" i="1" s="1"/>
  <c r="G33" i="1" s="1"/>
  <c r="H7" i="1"/>
  <c r="H17" i="1" s="1"/>
  <c r="H33" i="1" s="1"/>
  <c r="I7" i="1"/>
  <c r="I17" i="1" s="1"/>
  <c r="I33" i="1" s="1"/>
  <c r="J7" i="1"/>
  <c r="J12" i="1" s="1"/>
  <c r="J15" i="1" s="1"/>
  <c r="K7" i="1"/>
  <c r="K17" i="1" s="1"/>
  <c r="K33" i="1" s="1"/>
  <c r="L7" i="1"/>
  <c r="L12" i="1" s="1"/>
  <c r="L15" i="1" s="1"/>
  <c r="M7" i="1"/>
  <c r="M12" i="1" s="1"/>
  <c r="M15" i="1" s="1"/>
  <c r="N7" i="1"/>
  <c r="N12" i="1" s="1"/>
  <c r="N15" i="1" s="1"/>
  <c r="O7" i="1"/>
  <c r="O12" i="1" s="1"/>
  <c r="O15" i="1" s="1"/>
  <c r="D7" i="1"/>
  <c r="D17" i="1" s="1"/>
  <c r="E11" i="1"/>
  <c r="E25" i="1" s="1"/>
  <c r="F11" i="1"/>
  <c r="F25" i="1" s="1"/>
  <c r="G11" i="1"/>
  <c r="G25" i="1" s="1"/>
  <c r="H11" i="1"/>
  <c r="H25" i="1" s="1"/>
  <c r="I11" i="1"/>
  <c r="I12" i="1" s="1"/>
  <c r="I15" i="1" s="1"/>
  <c r="J11" i="1"/>
  <c r="J25" i="1" s="1"/>
  <c r="K11" i="1"/>
  <c r="K12" i="1" s="1"/>
  <c r="K15" i="1" s="1"/>
  <c r="L11" i="1"/>
  <c r="L25" i="1" s="1"/>
  <c r="M11" i="1"/>
  <c r="M25" i="1" s="1"/>
  <c r="N11" i="1"/>
  <c r="N25" i="1" s="1"/>
  <c r="O11" i="1"/>
  <c r="O25" i="1" s="1"/>
  <c r="D11" i="1"/>
  <c r="D25" i="1" s="1"/>
  <c r="J35" i="1" l="1"/>
  <c r="J36" i="1" s="1"/>
  <c r="J41" i="1" s="1"/>
  <c r="N36" i="1"/>
  <c r="N41" i="1" s="1"/>
  <c r="D35" i="1"/>
  <c r="O35" i="1"/>
  <c r="G35" i="1"/>
  <c r="G36" i="1" s="1"/>
  <c r="G41" i="1" s="1"/>
  <c r="N35" i="1"/>
  <c r="F35" i="1"/>
  <c r="H35" i="1"/>
  <c r="H36" i="1" s="1"/>
  <c r="H41" i="1" s="1"/>
  <c r="M35" i="1"/>
  <c r="E35" i="1"/>
  <c r="F36" i="1"/>
  <c r="F41" i="1" s="1"/>
  <c r="L35" i="1"/>
  <c r="D33" i="1"/>
  <c r="D36" i="1" s="1"/>
  <c r="D41" i="1" s="1"/>
  <c r="D27" i="1"/>
  <c r="D28" i="1" s="1"/>
  <c r="K25" i="1"/>
  <c r="L34" i="1"/>
  <c r="L36" i="1" s="1"/>
  <c r="L41" i="1" s="1"/>
  <c r="M17" i="1"/>
  <c r="M33" i="1" s="1"/>
  <c r="M36" i="1" s="1"/>
  <c r="M41" i="1" s="1"/>
  <c r="E17" i="1"/>
  <c r="E33" i="1" s="1"/>
  <c r="E36" i="1" s="1"/>
  <c r="E41" i="1" s="1"/>
  <c r="O17" i="1"/>
  <c r="O33" i="1" s="1"/>
  <c r="O36" i="1" s="1"/>
  <c r="O41" i="1" s="1"/>
  <c r="I25" i="1"/>
  <c r="D12" i="1"/>
  <c r="D15" i="1" s="1"/>
  <c r="H12" i="1"/>
  <c r="H15" i="1" s="1"/>
  <c r="G34" i="1"/>
  <c r="G12" i="1"/>
  <c r="G15" i="1" s="1"/>
  <c r="K35" i="1" l="1"/>
  <c r="K36" i="1" s="1"/>
  <c r="K41" i="1" s="1"/>
  <c r="I35" i="1"/>
  <c r="I36" i="1" s="1"/>
  <c r="I41" i="1" s="1"/>
  <c r="E27" i="1"/>
  <c r="F27" i="1" l="1"/>
  <c r="E28" i="1"/>
  <c r="G27" i="1" l="1"/>
  <c r="F28" i="1"/>
  <c r="H27" i="1" l="1"/>
  <c r="G28" i="1"/>
  <c r="I27" i="1" l="1"/>
  <c r="H28" i="1"/>
  <c r="J27" i="1" l="1"/>
  <c r="I28" i="1"/>
  <c r="K27" i="1" l="1"/>
  <c r="J28" i="1"/>
  <c r="L27" i="1" l="1"/>
  <c r="K28" i="1"/>
  <c r="M27" i="1" l="1"/>
  <c r="L28" i="1"/>
  <c r="N27" i="1" l="1"/>
  <c r="M28" i="1"/>
  <c r="O27" i="1" l="1"/>
  <c r="O28" i="1" s="1"/>
  <c r="N28" i="1"/>
</calcChain>
</file>

<file path=xl/sharedStrings.xml><?xml version="1.0" encoding="utf-8"?>
<sst xmlns="http://schemas.openxmlformats.org/spreadsheetml/2006/main" count="52" uniqueCount="45">
  <si>
    <t>Income Statement</t>
  </si>
  <si>
    <t>Total Revenue</t>
  </si>
  <si>
    <t>COGS</t>
  </si>
  <si>
    <t>Gross Profit</t>
  </si>
  <si>
    <t>Sales Marketing</t>
  </si>
  <si>
    <t>R&amp;D</t>
  </si>
  <si>
    <t>G&amp;A</t>
  </si>
  <si>
    <t>Total Opex</t>
  </si>
  <si>
    <t>Operating Income</t>
  </si>
  <si>
    <t>Interest Expense</t>
  </si>
  <si>
    <t>Interest Income</t>
  </si>
  <si>
    <t>Pretax Profit</t>
  </si>
  <si>
    <t>Tax</t>
  </si>
  <si>
    <t>Net Income</t>
  </si>
  <si>
    <t>Balance Sheet</t>
  </si>
  <si>
    <t>x</t>
  </si>
  <si>
    <t xml:space="preserve">Cash </t>
  </si>
  <si>
    <t>Accounts Receviable</t>
  </si>
  <si>
    <t>Total Assets</t>
  </si>
  <si>
    <t>Accounts Payable</t>
  </si>
  <si>
    <t>Share capital</t>
  </si>
  <si>
    <t>Retained Earnings</t>
  </si>
  <si>
    <t>Total liabilites &amp; Equity</t>
  </si>
  <si>
    <t xml:space="preserve">Cash Flow Statement </t>
  </si>
  <si>
    <t>Net cash from ops</t>
  </si>
  <si>
    <t>New Funding</t>
  </si>
  <si>
    <t>Net cash from Financing</t>
  </si>
  <si>
    <t>Net change in cash</t>
  </si>
  <si>
    <t>Ending Cash</t>
  </si>
  <si>
    <t>Beginning Cash</t>
  </si>
  <si>
    <t>Start customers</t>
  </si>
  <si>
    <t>New Customers</t>
  </si>
  <si>
    <t>Churned Cust</t>
  </si>
  <si>
    <t>Sales &amp; Marketing Expense (from P&amp;L) / New Customers</t>
  </si>
  <si>
    <t>ARPU (Average Revenue Per User)</t>
  </si>
  <si>
    <t>Total Revenue (from P&amp;L) / Start Customers</t>
  </si>
  <si>
    <t>LTV (Lifetime Value)</t>
  </si>
  <si>
    <t>(ARPU * Gross Margin %) / Churn Rate %</t>
  </si>
  <si>
    <t>Gross Margin</t>
  </si>
  <si>
    <t>Churn Rate</t>
  </si>
  <si>
    <t>LTV:CAC Ratio</t>
  </si>
  <si>
    <t>LTV / CAC</t>
  </si>
  <si>
    <t>Created By : Vishwaradhya Ms | FP&amp;A Startup Finance Analyst</t>
  </si>
  <si>
    <t xml:space="preserve">Model created manually for demonstration purpose  </t>
  </si>
  <si>
    <t>CAC(Customer Acquisition Cost)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</si>
</sst>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"/>
    <numFmt numFmtId="165" formatCode="#,##0.0"/>
  </numFmts>
  <fonts count="5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3" fontId="0" fillId="0" borderId="0" xfId="0" applyNumberFormat="1"/>
    <xf numFmtId="3" fontId="2" fillId="0" borderId="0" xfId="0" applyNumberFormat="1" applyFont="1"/>
    <xf numFmtId="0" fontId="2" fillId="0" borderId="1" xfId="0" applyFont="1" applyBorder="1"/>
    <xf numFmtId="0" fontId="2" fillId="0" borderId="2" xfId="0" applyFont="1" applyBorder="1"/>
    <xf numFmtId="164" fontId="2" fillId="0" borderId="0" xfId="0" applyNumberFormat="1" applyFont="1"/>
    <xf numFmtId="9" fontId="0" fillId="0" borderId="0" xfId="2" applyFont="1"/>
    <xf numFmtId="43" fontId="2" fillId="0" borderId="0" xfId="1" applyFont="1"/>
    <xf numFmtId="43" fontId="2" fillId="0" borderId="0" xfId="0" applyNumberFormat="1" applyFont="1"/>
    <xf numFmtId="0" fontId="3" fillId="2" borderId="0" xfId="0" applyFont="1" applyFill="1"/>
    <xf numFmtId="0" fontId="4" fillId="2" borderId="0" xfId="0" applyFont="1" applyFill="1"/>
    <xf numFmtId="17" fontId="3" fillId="2" borderId="0" xfId="0" applyNumberFormat="1" applyFont="1" applyFill="1"/>
    <xf numFmtId="165" fontId="2" fillId="0" borderId="1" xfId="0" applyNumberFormat="1" applyFont="1" applyBorder="1"/>
    <xf numFmtId="165" fontId="0" fillId="0" borderId="0" xfId="0" applyNumberFormat="1"/>
    <xf numFmtId="165" fontId="2" fillId="0" borderId="2" xfId="0" applyNumberFormat="1" applyFont="1" applyBorder="1"/>
    <xf numFmtId="0" fontId="2" fillId="3" borderId="0" xfId="0" applyFont="1" applyFill="1"/>
    <xf numFmtId="9" fontId="2" fillId="0" borderId="0" xfId="2" applyFont="1"/>
    <xf numFmtId="164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EA81D-4D4B-405A-84B2-B3EB8A57FB60}">
  <dimension ref="A2:S55"/>
  <sheetViews>
    <sheetView showGridLines="0" topLeftCell="A30" workbookViewId="0">
      <selection activeCell="O58" sqref="O58"/>
    </sheetView>
  </sheetViews>
  <sheetFormatPr defaultRowHeight="14.4" x14ac:dyDescent="0.3"/>
  <cols>
    <col min="1" max="1" width="2.77734375" customWidth="1"/>
    <col min="2" max="2" width="19.77734375" bestFit="1" customWidth="1"/>
    <col min="4" max="15" width="12.77734375" customWidth="1"/>
  </cols>
  <sheetData>
    <row r="2" spans="1:15" x14ac:dyDescent="0.3">
      <c r="A2" t="s">
        <v>15</v>
      </c>
    </row>
    <row r="4" spans="1:15" x14ac:dyDescent="0.3">
      <c r="B4" s="10" t="s">
        <v>0</v>
      </c>
      <c r="C4" s="11"/>
      <c r="D4" s="12">
        <v>45292</v>
      </c>
      <c r="E4" s="12">
        <v>45323</v>
      </c>
      <c r="F4" s="12">
        <v>45352</v>
      </c>
      <c r="G4" s="12">
        <v>45383</v>
      </c>
      <c r="H4" s="12">
        <v>45413</v>
      </c>
      <c r="I4" s="12">
        <v>45444</v>
      </c>
      <c r="J4" s="12">
        <v>45474</v>
      </c>
      <c r="K4" s="12">
        <v>45505</v>
      </c>
      <c r="L4" s="12">
        <v>45536</v>
      </c>
      <c r="M4" s="12">
        <v>45566</v>
      </c>
      <c r="N4" s="12">
        <v>45597</v>
      </c>
      <c r="O4" s="12">
        <v>45627</v>
      </c>
    </row>
    <row r="5" spans="1:15" x14ac:dyDescent="0.3">
      <c r="B5" t="s">
        <v>1</v>
      </c>
      <c r="D5" s="14">
        <v>100000</v>
      </c>
      <c r="E5" s="14">
        <v>106000</v>
      </c>
      <c r="F5" s="14">
        <v>112000</v>
      </c>
      <c r="G5" s="14">
        <v>120000</v>
      </c>
      <c r="H5" s="14">
        <v>128000</v>
      </c>
      <c r="I5" s="14">
        <v>137000</v>
      </c>
      <c r="J5" s="14">
        <v>148000</v>
      </c>
      <c r="K5" s="14">
        <v>160000</v>
      </c>
      <c r="L5" s="14">
        <v>172000</v>
      </c>
      <c r="M5" s="14">
        <v>185000</v>
      </c>
      <c r="N5" s="14">
        <v>200000</v>
      </c>
      <c r="O5" s="14">
        <v>215000</v>
      </c>
    </row>
    <row r="6" spans="1:15" x14ac:dyDescent="0.3">
      <c r="B6" t="s">
        <v>2</v>
      </c>
      <c r="D6" s="14">
        <v>20000</v>
      </c>
      <c r="E6" s="14">
        <v>21000</v>
      </c>
      <c r="F6" s="14">
        <v>22000</v>
      </c>
      <c r="G6" s="14">
        <v>24000</v>
      </c>
      <c r="H6" s="14">
        <v>25000</v>
      </c>
      <c r="I6" s="14">
        <v>27000</v>
      </c>
      <c r="J6" s="14">
        <v>29000</v>
      </c>
      <c r="K6" s="14">
        <v>32000</v>
      </c>
      <c r="L6" s="14">
        <v>34000</v>
      </c>
      <c r="M6" s="14">
        <v>37000</v>
      </c>
      <c r="N6" s="14">
        <v>40000</v>
      </c>
      <c r="O6" s="14">
        <v>43000</v>
      </c>
    </row>
    <row r="7" spans="1:15" x14ac:dyDescent="0.3">
      <c r="B7" s="4" t="s">
        <v>3</v>
      </c>
      <c r="C7" s="4"/>
      <c r="D7" s="13">
        <f>D5-D6</f>
        <v>80000</v>
      </c>
      <c r="E7" s="13">
        <f t="shared" ref="E7:O7" si="0">E5-E6</f>
        <v>85000</v>
      </c>
      <c r="F7" s="13">
        <f t="shared" si="0"/>
        <v>90000</v>
      </c>
      <c r="G7" s="13">
        <f t="shared" si="0"/>
        <v>96000</v>
      </c>
      <c r="H7" s="13">
        <f t="shared" si="0"/>
        <v>103000</v>
      </c>
      <c r="I7" s="13">
        <f t="shared" si="0"/>
        <v>110000</v>
      </c>
      <c r="J7" s="13">
        <f t="shared" si="0"/>
        <v>119000</v>
      </c>
      <c r="K7" s="13">
        <f t="shared" si="0"/>
        <v>128000</v>
      </c>
      <c r="L7" s="13">
        <f t="shared" si="0"/>
        <v>138000</v>
      </c>
      <c r="M7" s="13">
        <f t="shared" si="0"/>
        <v>148000</v>
      </c>
      <c r="N7" s="13">
        <f t="shared" si="0"/>
        <v>160000</v>
      </c>
      <c r="O7" s="13">
        <f t="shared" si="0"/>
        <v>172000</v>
      </c>
    </row>
    <row r="8" spans="1:15" x14ac:dyDescent="0.3">
      <c r="B8" t="s">
        <v>4</v>
      </c>
      <c r="D8" s="14">
        <v>40000</v>
      </c>
      <c r="E8" s="14">
        <v>45000</v>
      </c>
      <c r="F8" s="14">
        <v>50000</v>
      </c>
      <c r="G8" s="14">
        <v>55000</v>
      </c>
      <c r="H8" s="14">
        <v>60000</v>
      </c>
      <c r="I8" s="14">
        <v>65000</v>
      </c>
      <c r="J8" s="14">
        <v>70000</v>
      </c>
      <c r="K8" s="14">
        <v>75000</v>
      </c>
      <c r="L8" s="14">
        <v>80000</v>
      </c>
      <c r="M8" s="14">
        <v>85000</v>
      </c>
      <c r="N8" s="14">
        <v>90000</v>
      </c>
      <c r="O8" s="14">
        <v>100000</v>
      </c>
    </row>
    <row r="9" spans="1:15" x14ac:dyDescent="0.3">
      <c r="B9" t="s">
        <v>5</v>
      </c>
      <c r="D9" s="14">
        <v>50000</v>
      </c>
      <c r="E9" s="14">
        <v>50000</v>
      </c>
      <c r="F9" s="14">
        <v>50000</v>
      </c>
      <c r="G9" s="14">
        <v>60000</v>
      </c>
      <c r="H9" s="14">
        <v>60000</v>
      </c>
      <c r="I9" s="14">
        <v>60000</v>
      </c>
      <c r="J9" s="14">
        <v>70000</v>
      </c>
      <c r="K9" s="14">
        <v>70000</v>
      </c>
      <c r="L9" s="14">
        <v>70000</v>
      </c>
      <c r="M9" s="14">
        <v>80000</v>
      </c>
      <c r="N9" s="14">
        <v>80000</v>
      </c>
      <c r="O9" s="14">
        <v>80000</v>
      </c>
    </row>
    <row r="10" spans="1:15" x14ac:dyDescent="0.3">
      <c r="B10" t="s">
        <v>6</v>
      </c>
      <c r="D10" s="14">
        <v>20000</v>
      </c>
      <c r="E10" s="14">
        <v>20000</v>
      </c>
      <c r="F10" s="14">
        <v>20000</v>
      </c>
      <c r="G10" s="14">
        <v>20000</v>
      </c>
      <c r="H10" s="14">
        <v>25000</v>
      </c>
      <c r="I10" s="14">
        <v>25000</v>
      </c>
      <c r="J10" s="14">
        <v>25000</v>
      </c>
      <c r="K10" s="14">
        <v>25000</v>
      </c>
      <c r="L10" s="14">
        <v>25000</v>
      </c>
      <c r="M10" s="14">
        <v>30000</v>
      </c>
      <c r="N10" s="14">
        <v>30000</v>
      </c>
      <c r="O10" s="14">
        <v>30000</v>
      </c>
    </row>
    <row r="11" spans="1:15" x14ac:dyDescent="0.3">
      <c r="B11" s="4" t="s">
        <v>7</v>
      </c>
      <c r="C11" s="4"/>
      <c r="D11" s="13">
        <f>SUM(D8:D10)</f>
        <v>110000</v>
      </c>
      <c r="E11" s="13">
        <f t="shared" ref="E11:O11" si="1">SUM(E8:E10)</f>
        <v>115000</v>
      </c>
      <c r="F11" s="13">
        <f t="shared" si="1"/>
        <v>120000</v>
      </c>
      <c r="G11" s="13">
        <f t="shared" si="1"/>
        <v>135000</v>
      </c>
      <c r="H11" s="13">
        <f t="shared" si="1"/>
        <v>145000</v>
      </c>
      <c r="I11" s="13">
        <f t="shared" si="1"/>
        <v>150000</v>
      </c>
      <c r="J11" s="13">
        <f t="shared" si="1"/>
        <v>165000</v>
      </c>
      <c r="K11" s="13">
        <f t="shared" si="1"/>
        <v>170000</v>
      </c>
      <c r="L11" s="13">
        <f t="shared" si="1"/>
        <v>175000</v>
      </c>
      <c r="M11" s="13">
        <f t="shared" si="1"/>
        <v>195000</v>
      </c>
      <c r="N11" s="13">
        <f t="shared" si="1"/>
        <v>200000</v>
      </c>
      <c r="O11" s="13">
        <f t="shared" si="1"/>
        <v>210000</v>
      </c>
    </row>
    <row r="12" spans="1:15" x14ac:dyDescent="0.3">
      <c r="B12" s="4" t="s">
        <v>8</v>
      </c>
      <c r="C12" s="4"/>
      <c r="D12" s="13">
        <f>D7-D11</f>
        <v>-30000</v>
      </c>
      <c r="E12" s="13">
        <f t="shared" ref="E12:O12" si="2">E7-E11</f>
        <v>-30000</v>
      </c>
      <c r="F12" s="13">
        <f t="shared" si="2"/>
        <v>-30000</v>
      </c>
      <c r="G12" s="13">
        <f t="shared" si="2"/>
        <v>-39000</v>
      </c>
      <c r="H12" s="13">
        <f t="shared" si="2"/>
        <v>-42000</v>
      </c>
      <c r="I12" s="13">
        <f t="shared" si="2"/>
        <v>-40000</v>
      </c>
      <c r="J12" s="13">
        <f t="shared" si="2"/>
        <v>-46000</v>
      </c>
      <c r="K12" s="13">
        <f t="shared" si="2"/>
        <v>-42000</v>
      </c>
      <c r="L12" s="13">
        <f t="shared" si="2"/>
        <v>-37000</v>
      </c>
      <c r="M12" s="13">
        <f t="shared" si="2"/>
        <v>-47000</v>
      </c>
      <c r="N12" s="13">
        <f t="shared" si="2"/>
        <v>-40000</v>
      </c>
      <c r="O12" s="13">
        <f t="shared" si="2"/>
        <v>-38000</v>
      </c>
    </row>
    <row r="13" spans="1:15" x14ac:dyDescent="0.3">
      <c r="B13" t="s">
        <v>9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</row>
    <row r="14" spans="1:15" x14ac:dyDescent="0.3">
      <c r="B14" t="s">
        <v>10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</row>
    <row r="15" spans="1:15" x14ac:dyDescent="0.3">
      <c r="B15" s="4" t="s">
        <v>11</v>
      </c>
      <c r="C15" s="4"/>
      <c r="D15" s="13">
        <f>D12</f>
        <v>-30000</v>
      </c>
      <c r="E15" s="13">
        <f t="shared" ref="E15:N15" si="3">E12</f>
        <v>-30000</v>
      </c>
      <c r="F15" s="13">
        <f t="shared" si="3"/>
        <v>-30000</v>
      </c>
      <c r="G15" s="13">
        <f t="shared" si="3"/>
        <v>-39000</v>
      </c>
      <c r="H15" s="13">
        <f t="shared" si="3"/>
        <v>-42000</v>
      </c>
      <c r="I15" s="13">
        <f t="shared" si="3"/>
        <v>-40000</v>
      </c>
      <c r="J15" s="13">
        <f t="shared" si="3"/>
        <v>-46000</v>
      </c>
      <c r="K15" s="13">
        <f t="shared" si="3"/>
        <v>-42000</v>
      </c>
      <c r="L15" s="13">
        <f t="shared" si="3"/>
        <v>-37000</v>
      </c>
      <c r="M15" s="13">
        <f t="shared" si="3"/>
        <v>-47000</v>
      </c>
      <c r="N15" s="13">
        <f t="shared" si="3"/>
        <v>-40000</v>
      </c>
      <c r="O15" s="13">
        <f>O12</f>
        <v>-38000</v>
      </c>
    </row>
    <row r="16" spans="1:15" x14ac:dyDescent="0.3">
      <c r="B16" t="s">
        <v>12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</row>
    <row r="17" spans="1:15" ht="15" thickBot="1" x14ac:dyDescent="0.35">
      <c r="B17" s="5" t="s">
        <v>13</v>
      </c>
      <c r="C17" s="5"/>
      <c r="D17" s="15">
        <f>D7-D11</f>
        <v>-30000</v>
      </c>
      <c r="E17" s="15">
        <f t="shared" ref="E17:O17" si="4">E7-E11</f>
        <v>-30000</v>
      </c>
      <c r="F17" s="15">
        <f t="shared" si="4"/>
        <v>-30000</v>
      </c>
      <c r="G17" s="15">
        <f t="shared" si="4"/>
        <v>-39000</v>
      </c>
      <c r="H17" s="15">
        <f t="shared" si="4"/>
        <v>-42000</v>
      </c>
      <c r="I17" s="15">
        <f t="shared" si="4"/>
        <v>-40000</v>
      </c>
      <c r="J17" s="15">
        <f t="shared" si="4"/>
        <v>-46000</v>
      </c>
      <c r="K17" s="15">
        <f t="shared" si="4"/>
        <v>-42000</v>
      </c>
      <c r="L17" s="15">
        <f t="shared" si="4"/>
        <v>-37000</v>
      </c>
      <c r="M17" s="15">
        <f t="shared" si="4"/>
        <v>-47000</v>
      </c>
      <c r="N17" s="15">
        <f t="shared" si="4"/>
        <v>-40000</v>
      </c>
      <c r="O17" s="15">
        <f t="shared" si="4"/>
        <v>-38000</v>
      </c>
    </row>
    <row r="18" spans="1:15" ht="15" thickTop="1" x14ac:dyDescent="0.3"/>
    <row r="20" spans="1:15" x14ac:dyDescent="0.3">
      <c r="A20" t="s">
        <v>15</v>
      </c>
      <c r="B20" s="10" t="s">
        <v>14</v>
      </c>
      <c r="C20" s="11"/>
      <c r="D20" s="12">
        <v>45292</v>
      </c>
      <c r="E20" s="12">
        <v>45323</v>
      </c>
      <c r="F20" s="12">
        <v>45352</v>
      </c>
      <c r="G20" s="12">
        <v>45383</v>
      </c>
      <c r="H20" s="12">
        <v>45413</v>
      </c>
      <c r="I20" s="12">
        <v>45444</v>
      </c>
      <c r="J20" s="12">
        <v>45474</v>
      </c>
      <c r="K20" s="12">
        <v>45505</v>
      </c>
      <c r="L20" s="12">
        <v>45536</v>
      </c>
      <c r="M20" s="12">
        <v>45566</v>
      </c>
      <c r="N20" s="12">
        <v>45597</v>
      </c>
      <c r="O20" s="12">
        <v>45627</v>
      </c>
    </row>
    <row r="22" spans="1:15" x14ac:dyDescent="0.3">
      <c r="B22" t="s">
        <v>16</v>
      </c>
      <c r="D22" s="14">
        <f>D44</f>
        <v>530000</v>
      </c>
      <c r="E22" s="14">
        <f t="shared" ref="E22:O22" si="5">E44</f>
        <v>500000</v>
      </c>
      <c r="F22" s="14">
        <f t="shared" si="5"/>
        <v>470000</v>
      </c>
      <c r="G22" s="14">
        <f t="shared" si="5"/>
        <v>440000</v>
      </c>
      <c r="H22" s="14">
        <f t="shared" si="5"/>
        <v>401000</v>
      </c>
      <c r="I22" s="14">
        <f t="shared" si="5"/>
        <v>359000</v>
      </c>
      <c r="J22" s="14">
        <f t="shared" si="5"/>
        <v>319000</v>
      </c>
      <c r="K22" s="14">
        <f t="shared" si="5"/>
        <v>273000</v>
      </c>
      <c r="L22" s="14">
        <f t="shared" si="5"/>
        <v>231000</v>
      </c>
      <c r="M22" s="14">
        <f t="shared" si="5"/>
        <v>194000</v>
      </c>
      <c r="N22" s="14">
        <f t="shared" si="5"/>
        <v>1147000</v>
      </c>
      <c r="O22" s="14">
        <f t="shared" si="5"/>
        <v>1107000</v>
      </c>
    </row>
    <row r="23" spans="1:15" x14ac:dyDescent="0.3">
      <c r="B23" t="s">
        <v>17</v>
      </c>
      <c r="D23" s="14">
        <f>D5</f>
        <v>100000</v>
      </c>
      <c r="E23" s="14">
        <f t="shared" ref="E23:O23" si="6">E5</f>
        <v>106000</v>
      </c>
      <c r="F23" s="14">
        <f t="shared" si="6"/>
        <v>112000</v>
      </c>
      <c r="G23" s="14">
        <f t="shared" si="6"/>
        <v>120000</v>
      </c>
      <c r="H23" s="14">
        <f t="shared" si="6"/>
        <v>128000</v>
      </c>
      <c r="I23" s="14">
        <f t="shared" si="6"/>
        <v>137000</v>
      </c>
      <c r="J23" s="14">
        <f t="shared" si="6"/>
        <v>148000</v>
      </c>
      <c r="K23" s="14">
        <f t="shared" si="6"/>
        <v>160000</v>
      </c>
      <c r="L23" s="14">
        <f t="shared" si="6"/>
        <v>172000</v>
      </c>
      <c r="M23" s="14">
        <f t="shared" si="6"/>
        <v>185000</v>
      </c>
      <c r="N23" s="14">
        <f t="shared" si="6"/>
        <v>200000</v>
      </c>
      <c r="O23" s="14">
        <f t="shared" si="6"/>
        <v>215000</v>
      </c>
    </row>
    <row r="24" spans="1:15" x14ac:dyDescent="0.3">
      <c r="B24" s="4" t="s">
        <v>18</v>
      </c>
      <c r="C24" s="4"/>
      <c r="D24" s="13">
        <f>SUM(D22:D23)</f>
        <v>630000</v>
      </c>
      <c r="E24" s="13">
        <f t="shared" ref="E24:O24" si="7">SUM(E22:E23)</f>
        <v>606000</v>
      </c>
      <c r="F24" s="13">
        <f t="shared" si="7"/>
        <v>582000</v>
      </c>
      <c r="G24" s="13">
        <f t="shared" si="7"/>
        <v>560000</v>
      </c>
      <c r="H24" s="13">
        <f t="shared" si="7"/>
        <v>529000</v>
      </c>
      <c r="I24" s="13">
        <f t="shared" si="7"/>
        <v>496000</v>
      </c>
      <c r="J24" s="13">
        <f t="shared" si="7"/>
        <v>467000</v>
      </c>
      <c r="K24" s="13">
        <f t="shared" si="7"/>
        <v>433000</v>
      </c>
      <c r="L24" s="13">
        <f t="shared" si="7"/>
        <v>403000</v>
      </c>
      <c r="M24" s="13">
        <f t="shared" si="7"/>
        <v>379000</v>
      </c>
      <c r="N24" s="13">
        <f t="shared" si="7"/>
        <v>1347000</v>
      </c>
      <c r="O24" s="13">
        <f t="shared" si="7"/>
        <v>1322000</v>
      </c>
    </row>
    <row r="25" spans="1:15" x14ac:dyDescent="0.3">
      <c r="B25" t="s">
        <v>19</v>
      </c>
      <c r="D25" s="14">
        <f>D6+D11</f>
        <v>130000</v>
      </c>
      <c r="E25" s="14">
        <f t="shared" ref="E25:O25" si="8">E6+E11</f>
        <v>136000</v>
      </c>
      <c r="F25" s="14">
        <f t="shared" si="8"/>
        <v>142000</v>
      </c>
      <c r="G25" s="14">
        <f t="shared" si="8"/>
        <v>159000</v>
      </c>
      <c r="H25" s="14">
        <f t="shared" si="8"/>
        <v>170000</v>
      </c>
      <c r="I25" s="14">
        <f t="shared" si="8"/>
        <v>177000</v>
      </c>
      <c r="J25" s="14">
        <f t="shared" si="8"/>
        <v>194000</v>
      </c>
      <c r="K25" s="14">
        <f t="shared" si="8"/>
        <v>202000</v>
      </c>
      <c r="L25" s="14">
        <f t="shared" si="8"/>
        <v>209000</v>
      </c>
      <c r="M25" s="14">
        <f t="shared" si="8"/>
        <v>232000</v>
      </c>
      <c r="N25" s="14">
        <f t="shared" si="8"/>
        <v>240000</v>
      </c>
      <c r="O25" s="14">
        <f t="shared" si="8"/>
        <v>253000</v>
      </c>
    </row>
    <row r="26" spans="1:15" x14ac:dyDescent="0.3">
      <c r="B26" t="s">
        <v>20</v>
      </c>
      <c r="D26" s="14">
        <v>1000000</v>
      </c>
      <c r="E26" s="14">
        <v>1000000</v>
      </c>
      <c r="F26" s="14">
        <v>1000000</v>
      </c>
      <c r="G26" s="14">
        <v>1000000</v>
      </c>
      <c r="H26" s="14">
        <v>1000000</v>
      </c>
      <c r="I26" s="14">
        <v>1000000</v>
      </c>
      <c r="J26" s="14">
        <v>1000000</v>
      </c>
      <c r="K26" s="14">
        <v>1000000</v>
      </c>
      <c r="L26" s="14">
        <v>1000000</v>
      </c>
      <c r="M26" s="14">
        <v>1000000</v>
      </c>
      <c r="N26" s="14">
        <v>2000000</v>
      </c>
      <c r="O26" s="14">
        <v>2000000</v>
      </c>
    </row>
    <row r="27" spans="1:15" x14ac:dyDescent="0.3">
      <c r="B27" t="s">
        <v>21</v>
      </c>
      <c r="D27" s="14">
        <f>-470000+D17</f>
        <v>-500000</v>
      </c>
      <c r="E27" s="14">
        <f>D27+E17</f>
        <v>-530000</v>
      </c>
      <c r="F27" s="14">
        <f t="shared" ref="F27:O27" si="9">E27+F17</f>
        <v>-560000</v>
      </c>
      <c r="G27" s="14">
        <f t="shared" si="9"/>
        <v>-599000</v>
      </c>
      <c r="H27" s="14">
        <f t="shared" si="9"/>
        <v>-641000</v>
      </c>
      <c r="I27" s="14">
        <f t="shared" si="9"/>
        <v>-681000</v>
      </c>
      <c r="J27" s="14">
        <f t="shared" si="9"/>
        <v>-727000</v>
      </c>
      <c r="K27" s="14">
        <f t="shared" si="9"/>
        <v>-769000</v>
      </c>
      <c r="L27" s="14">
        <f t="shared" si="9"/>
        <v>-806000</v>
      </c>
      <c r="M27" s="14">
        <f t="shared" si="9"/>
        <v>-853000</v>
      </c>
      <c r="N27" s="14">
        <f t="shared" si="9"/>
        <v>-893000</v>
      </c>
      <c r="O27" s="14">
        <f t="shared" si="9"/>
        <v>-931000</v>
      </c>
    </row>
    <row r="28" spans="1:15" ht="15" thickBot="1" x14ac:dyDescent="0.35">
      <c r="B28" s="5" t="s">
        <v>22</v>
      </c>
      <c r="C28" s="5"/>
      <c r="D28" s="15">
        <f>SUM(D25:D27)</f>
        <v>630000</v>
      </c>
      <c r="E28" s="15">
        <f t="shared" ref="E28:O28" si="10">SUM(E25:E27)</f>
        <v>606000</v>
      </c>
      <c r="F28" s="15">
        <f t="shared" si="10"/>
        <v>582000</v>
      </c>
      <c r="G28" s="15">
        <f t="shared" si="10"/>
        <v>560000</v>
      </c>
      <c r="H28" s="15">
        <f t="shared" si="10"/>
        <v>529000</v>
      </c>
      <c r="I28" s="15">
        <f t="shared" si="10"/>
        <v>496000</v>
      </c>
      <c r="J28" s="15">
        <f t="shared" si="10"/>
        <v>467000</v>
      </c>
      <c r="K28" s="15">
        <f t="shared" si="10"/>
        <v>433000</v>
      </c>
      <c r="L28" s="15">
        <f t="shared" si="10"/>
        <v>403000</v>
      </c>
      <c r="M28" s="15">
        <f t="shared" si="10"/>
        <v>379000</v>
      </c>
      <c r="N28" s="15">
        <f t="shared" si="10"/>
        <v>1347000</v>
      </c>
      <c r="O28" s="15">
        <f t="shared" si="10"/>
        <v>1322000</v>
      </c>
    </row>
    <row r="29" spans="1:15" ht="15" thickTop="1" x14ac:dyDescent="0.3"/>
    <row r="31" spans="1:15" x14ac:dyDescent="0.3">
      <c r="A31" t="s">
        <v>15</v>
      </c>
      <c r="B31" s="10" t="s">
        <v>23</v>
      </c>
      <c r="C31" s="11"/>
      <c r="D31" s="12">
        <v>45292</v>
      </c>
      <c r="E31" s="12">
        <v>45323</v>
      </c>
      <c r="F31" s="12">
        <v>45352</v>
      </c>
      <c r="G31" s="12">
        <v>45383</v>
      </c>
      <c r="H31" s="12">
        <v>45413</v>
      </c>
      <c r="I31" s="12">
        <v>45444</v>
      </c>
      <c r="J31" s="12">
        <v>45474</v>
      </c>
      <c r="K31" s="12">
        <v>45505</v>
      </c>
      <c r="L31" s="12">
        <v>45536</v>
      </c>
      <c r="M31" s="12">
        <v>45566</v>
      </c>
      <c r="N31" s="12">
        <v>45597</v>
      </c>
      <c r="O31" s="12">
        <v>45627</v>
      </c>
    </row>
    <row r="33" spans="2:16" x14ac:dyDescent="0.3">
      <c r="B33" t="s">
        <v>13</v>
      </c>
      <c r="D33" s="14">
        <f>D17</f>
        <v>-30000</v>
      </c>
      <c r="E33" s="14">
        <f t="shared" ref="E33:O33" si="11">E17</f>
        <v>-30000</v>
      </c>
      <c r="F33" s="14">
        <f t="shared" si="11"/>
        <v>-30000</v>
      </c>
      <c r="G33" s="14">
        <f t="shared" si="11"/>
        <v>-39000</v>
      </c>
      <c r="H33" s="14">
        <f t="shared" si="11"/>
        <v>-42000</v>
      </c>
      <c r="I33" s="14">
        <f t="shared" si="11"/>
        <v>-40000</v>
      </c>
      <c r="J33" s="14">
        <f t="shared" si="11"/>
        <v>-46000</v>
      </c>
      <c r="K33" s="14">
        <f t="shared" si="11"/>
        <v>-42000</v>
      </c>
      <c r="L33" s="14">
        <f t="shared" si="11"/>
        <v>-37000</v>
      </c>
      <c r="M33" s="14">
        <f t="shared" si="11"/>
        <v>-47000</v>
      </c>
      <c r="N33" s="14">
        <f t="shared" si="11"/>
        <v>-40000</v>
      </c>
      <c r="O33" s="14">
        <f t="shared" si="11"/>
        <v>-38000</v>
      </c>
    </row>
    <row r="34" spans="2:16" x14ac:dyDescent="0.3">
      <c r="B34" t="s">
        <v>17</v>
      </c>
      <c r="D34" s="14">
        <f>-(D23-0)</f>
        <v>-100000</v>
      </c>
      <c r="E34" s="14">
        <f>-(E23-D23)</f>
        <v>-6000</v>
      </c>
      <c r="F34" s="14">
        <f t="shared" ref="F34:O34" si="12">-(F23-E23)</f>
        <v>-6000</v>
      </c>
      <c r="G34" s="14">
        <f t="shared" si="12"/>
        <v>-8000</v>
      </c>
      <c r="H34" s="14">
        <f t="shared" si="12"/>
        <v>-8000</v>
      </c>
      <c r="I34" s="14">
        <f t="shared" si="12"/>
        <v>-9000</v>
      </c>
      <c r="J34" s="14">
        <f t="shared" si="12"/>
        <v>-11000</v>
      </c>
      <c r="K34" s="14">
        <f t="shared" si="12"/>
        <v>-12000</v>
      </c>
      <c r="L34" s="14">
        <f t="shared" si="12"/>
        <v>-12000</v>
      </c>
      <c r="M34" s="14">
        <f t="shared" si="12"/>
        <v>-13000</v>
      </c>
      <c r="N34" s="14">
        <f t="shared" si="12"/>
        <v>-15000</v>
      </c>
      <c r="O34" s="14">
        <f t="shared" si="12"/>
        <v>-15000</v>
      </c>
    </row>
    <row r="35" spans="2:16" x14ac:dyDescent="0.3">
      <c r="B35" t="s">
        <v>19</v>
      </c>
      <c r="D35" s="14">
        <f>D25-0</f>
        <v>130000</v>
      </c>
      <c r="E35" s="14">
        <f>E25-D25</f>
        <v>6000</v>
      </c>
      <c r="F35" s="14">
        <f t="shared" ref="F35:O35" si="13">F25-E25</f>
        <v>6000</v>
      </c>
      <c r="G35" s="14">
        <f t="shared" si="13"/>
        <v>17000</v>
      </c>
      <c r="H35" s="14">
        <f t="shared" si="13"/>
        <v>11000</v>
      </c>
      <c r="I35" s="14">
        <f t="shared" si="13"/>
        <v>7000</v>
      </c>
      <c r="J35" s="14">
        <f t="shared" si="13"/>
        <v>17000</v>
      </c>
      <c r="K35" s="14">
        <f t="shared" si="13"/>
        <v>8000</v>
      </c>
      <c r="L35" s="14">
        <f t="shared" si="13"/>
        <v>7000</v>
      </c>
      <c r="M35" s="14">
        <f t="shared" si="13"/>
        <v>23000</v>
      </c>
      <c r="N35" s="14">
        <f t="shared" si="13"/>
        <v>8000</v>
      </c>
      <c r="O35" s="14">
        <f t="shared" si="13"/>
        <v>13000</v>
      </c>
    </row>
    <row r="36" spans="2:16" x14ac:dyDescent="0.3">
      <c r="B36" s="4" t="s">
        <v>24</v>
      </c>
      <c r="C36" s="4"/>
      <c r="D36" s="13">
        <f>SUM(D33:D35)</f>
        <v>0</v>
      </c>
      <c r="E36" s="13">
        <f t="shared" ref="E36:O36" si="14">SUM(E33:E35)</f>
        <v>-30000</v>
      </c>
      <c r="F36" s="13">
        <f t="shared" si="14"/>
        <v>-30000</v>
      </c>
      <c r="G36" s="13">
        <f t="shared" si="14"/>
        <v>-30000</v>
      </c>
      <c r="H36" s="13">
        <f t="shared" si="14"/>
        <v>-39000</v>
      </c>
      <c r="I36" s="13">
        <f t="shared" si="14"/>
        <v>-42000</v>
      </c>
      <c r="J36" s="13">
        <f t="shared" si="14"/>
        <v>-40000</v>
      </c>
      <c r="K36" s="13">
        <f t="shared" si="14"/>
        <v>-46000</v>
      </c>
      <c r="L36" s="13">
        <f t="shared" si="14"/>
        <v>-42000</v>
      </c>
      <c r="M36" s="13">
        <f t="shared" si="14"/>
        <v>-37000</v>
      </c>
      <c r="N36" s="13">
        <f t="shared" si="14"/>
        <v>-47000</v>
      </c>
      <c r="O36" s="13">
        <f t="shared" si="14"/>
        <v>-40000</v>
      </c>
      <c r="P36" s="3"/>
    </row>
    <row r="37" spans="2:16" x14ac:dyDescent="0.3"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2:16" x14ac:dyDescent="0.3">
      <c r="B38" t="s">
        <v>25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1000000</v>
      </c>
      <c r="O38" s="14">
        <v>0</v>
      </c>
    </row>
    <row r="39" spans="2:16" x14ac:dyDescent="0.3">
      <c r="B39" s="4" t="s">
        <v>26</v>
      </c>
      <c r="C39" s="4"/>
      <c r="D39" s="13">
        <f>D38</f>
        <v>0</v>
      </c>
      <c r="E39" s="13">
        <f t="shared" ref="E39:O39" si="15">E38</f>
        <v>0</v>
      </c>
      <c r="F39" s="13">
        <f t="shared" si="15"/>
        <v>0</v>
      </c>
      <c r="G39" s="13">
        <f t="shared" si="15"/>
        <v>0</v>
      </c>
      <c r="H39" s="13">
        <f t="shared" si="15"/>
        <v>0</v>
      </c>
      <c r="I39" s="13">
        <f t="shared" si="15"/>
        <v>0</v>
      </c>
      <c r="J39" s="13">
        <f t="shared" si="15"/>
        <v>0</v>
      </c>
      <c r="K39" s="13">
        <f t="shared" si="15"/>
        <v>0</v>
      </c>
      <c r="L39" s="13">
        <f t="shared" si="15"/>
        <v>0</v>
      </c>
      <c r="M39" s="13">
        <f t="shared" si="15"/>
        <v>0</v>
      </c>
      <c r="N39" s="13">
        <f t="shared" si="15"/>
        <v>1000000</v>
      </c>
      <c r="O39" s="13">
        <f t="shared" si="15"/>
        <v>0</v>
      </c>
    </row>
    <row r="40" spans="2:16" x14ac:dyDescent="0.3"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2:16" x14ac:dyDescent="0.3">
      <c r="B41" t="s">
        <v>27</v>
      </c>
      <c r="D41" s="14">
        <f t="shared" ref="D41:O41" si="16">D36+D39</f>
        <v>0</v>
      </c>
      <c r="E41" s="14">
        <f t="shared" si="16"/>
        <v>-30000</v>
      </c>
      <c r="F41" s="14">
        <f t="shared" si="16"/>
        <v>-30000</v>
      </c>
      <c r="G41" s="14">
        <f t="shared" si="16"/>
        <v>-30000</v>
      </c>
      <c r="H41" s="14">
        <f t="shared" si="16"/>
        <v>-39000</v>
      </c>
      <c r="I41" s="14">
        <f t="shared" si="16"/>
        <v>-42000</v>
      </c>
      <c r="J41" s="14">
        <f t="shared" si="16"/>
        <v>-40000</v>
      </c>
      <c r="K41" s="14">
        <f t="shared" si="16"/>
        <v>-46000</v>
      </c>
      <c r="L41" s="14">
        <f t="shared" si="16"/>
        <v>-42000</v>
      </c>
      <c r="M41" s="14">
        <f t="shared" si="16"/>
        <v>-37000</v>
      </c>
      <c r="N41" s="14">
        <f t="shared" si="16"/>
        <v>953000</v>
      </c>
      <c r="O41" s="14">
        <f t="shared" si="16"/>
        <v>-40000</v>
      </c>
      <c r="P41" s="2"/>
    </row>
    <row r="42" spans="2:16" x14ac:dyDescent="0.3">
      <c r="B42" t="s">
        <v>29</v>
      </c>
      <c r="D42" s="14">
        <v>530000</v>
      </c>
      <c r="E42" s="14">
        <f>D44</f>
        <v>530000</v>
      </c>
      <c r="F42" s="14">
        <f t="shared" ref="F42:O42" si="17">E44</f>
        <v>500000</v>
      </c>
      <c r="G42" s="14">
        <f t="shared" si="17"/>
        <v>470000</v>
      </c>
      <c r="H42" s="14">
        <f t="shared" si="17"/>
        <v>440000</v>
      </c>
      <c r="I42" s="14">
        <f t="shared" si="17"/>
        <v>401000</v>
      </c>
      <c r="J42" s="14">
        <f t="shared" si="17"/>
        <v>359000</v>
      </c>
      <c r="K42" s="14">
        <f t="shared" si="17"/>
        <v>319000</v>
      </c>
      <c r="L42" s="14">
        <f t="shared" si="17"/>
        <v>273000</v>
      </c>
      <c r="M42" s="14">
        <f t="shared" si="17"/>
        <v>231000</v>
      </c>
      <c r="N42" s="14">
        <f t="shared" si="17"/>
        <v>194000</v>
      </c>
      <c r="O42" s="14">
        <f t="shared" si="17"/>
        <v>1147000</v>
      </c>
    </row>
    <row r="43" spans="2:16" x14ac:dyDescent="0.3"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2:16" ht="15" thickBot="1" x14ac:dyDescent="0.35">
      <c r="B44" s="5" t="s">
        <v>28</v>
      </c>
      <c r="C44" s="5"/>
      <c r="D44" s="15">
        <f>D42+D41</f>
        <v>530000</v>
      </c>
      <c r="E44" s="15">
        <f>E42+E41</f>
        <v>500000</v>
      </c>
      <c r="F44" s="15">
        <f t="shared" ref="F44:O44" si="18">F42+F41</f>
        <v>470000</v>
      </c>
      <c r="G44" s="15">
        <f t="shared" si="18"/>
        <v>440000</v>
      </c>
      <c r="H44" s="15">
        <f t="shared" si="18"/>
        <v>401000</v>
      </c>
      <c r="I44" s="15">
        <f t="shared" si="18"/>
        <v>359000</v>
      </c>
      <c r="J44" s="15">
        <f t="shared" si="18"/>
        <v>319000</v>
      </c>
      <c r="K44" s="15">
        <f t="shared" si="18"/>
        <v>273000</v>
      </c>
      <c r="L44" s="15">
        <f t="shared" si="18"/>
        <v>231000</v>
      </c>
      <c r="M44" s="15">
        <f t="shared" si="18"/>
        <v>194000</v>
      </c>
      <c r="N44" s="15">
        <f t="shared" si="18"/>
        <v>1147000</v>
      </c>
      <c r="O44" s="15">
        <f t="shared" si="18"/>
        <v>1107000</v>
      </c>
    </row>
    <row r="45" spans="2:16" ht="15" thickTop="1" x14ac:dyDescent="0.3"/>
    <row r="47" spans="2:16" x14ac:dyDescent="0.3">
      <c r="B47" t="s">
        <v>38</v>
      </c>
      <c r="D47" s="7">
        <f>D7/D5</f>
        <v>0.8</v>
      </c>
      <c r="E47" s="7">
        <f t="shared" ref="E47:O47" si="19">E7/E5</f>
        <v>0.80188679245283023</v>
      </c>
      <c r="F47" s="7">
        <f t="shared" si="19"/>
        <v>0.8035714285714286</v>
      </c>
      <c r="G47" s="7">
        <f t="shared" si="19"/>
        <v>0.8</v>
      </c>
      <c r="H47" s="7">
        <f t="shared" si="19"/>
        <v>0.8046875</v>
      </c>
      <c r="I47" s="7">
        <f t="shared" si="19"/>
        <v>0.8029197080291971</v>
      </c>
      <c r="J47" s="7">
        <f t="shared" si="19"/>
        <v>0.80405405405405406</v>
      </c>
      <c r="K47" s="7">
        <f t="shared" si="19"/>
        <v>0.8</v>
      </c>
      <c r="L47" s="7">
        <f t="shared" si="19"/>
        <v>0.80232558139534882</v>
      </c>
      <c r="M47" s="7">
        <f t="shared" si="19"/>
        <v>0.8</v>
      </c>
      <c r="N47" s="7">
        <f t="shared" si="19"/>
        <v>0.8</v>
      </c>
      <c r="O47" s="7">
        <f t="shared" si="19"/>
        <v>0.8</v>
      </c>
    </row>
    <row r="54" spans="14:19" x14ac:dyDescent="0.3">
      <c r="N54" s="16" t="s">
        <v>42</v>
      </c>
      <c r="O54" s="16"/>
      <c r="P54" s="16"/>
      <c r="Q54" s="16"/>
      <c r="R54" s="16"/>
      <c r="S54" s="16"/>
    </row>
    <row r="55" spans="14:19" x14ac:dyDescent="0.3">
      <c r="N55" s="16" t="s">
        <v>43</v>
      </c>
      <c r="O55" s="16"/>
      <c r="P55" s="16"/>
      <c r="Q55" s="16"/>
      <c r="R55" s="16"/>
      <c r="S55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2E17E-B189-44A9-8643-1E040950CB3F}">
  <dimension ref="B4:S40"/>
  <sheetViews>
    <sheetView showGridLines="0" tabSelected="1" zoomScale="98" zoomScaleNormal="98" workbookViewId="0">
      <selection activeCell="B40" sqref="B40"/>
    </sheetView>
  </sheetViews>
  <sheetFormatPr defaultRowHeight="14.4" x14ac:dyDescent="0.3"/>
  <cols>
    <col min="1" max="1" width="2.77734375" customWidth="1"/>
    <col min="2" max="2" width="47.44140625" bestFit="1" customWidth="1"/>
    <col min="3" max="14" width="12.77734375" customWidth="1"/>
  </cols>
  <sheetData>
    <row r="4" spans="2:14" x14ac:dyDescent="0.3">
      <c r="C4" s="12">
        <v>45292</v>
      </c>
      <c r="D4" s="12">
        <v>45323</v>
      </c>
      <c r="E4" s="12">
        <v>45352</v>
      </c>
      <c r="F4" s="12">
        <v>45383</v>
      </c>
      <c r="G4" s="12">
        <v>45413</v>
      </c>
      <c r="H4" s="12">
        <v>45444</v>
      </c>
      <c r="I4" s="12">
        <v>45474</v>
      </c>
      <c r="J4" s="12">
        <v>45505</v>
      </c>
      <c r="K4" s="12">
        <v>45536</v>
      </c>
      <c r="L4" s="12">
        <v>45566</v>
      </c>
      <c r="M4" s="12">
        <v>45597</v>
      </c>
      <c r="N4" s="12">
        <v>45627</v>
      </c>
    </row>
    <row r="6" spans="2:14" x14ac:dyDescent="0.3">
      <c r="B6" t="s">
        <v>30</v>
      </c>
      <c r="C6">
        <v>1000</v>
      </c>
      <c r="D6">
        <v>1050</v>
      </c>
      <c r="E6">
        <v>1110</v>
      </c>
      <c r="F6">
        <v>1180</v>
      </c>
      <c r="G6">
        <v>1260</v>
      </c>
      <c r="H6">
        <v>1350</v>
      </c>
      <c r="I6">
        <v>1450</v>
      </c>
      <c r="J6">
        <v>1560</v>
      </c>
      <c r="K6">
        <v>1680</v>
      </c>
      <c r="L6">
        <v>1810</v>
      </c>
      <c r="M6">
        <v>1950</v>
      </c>
      <c r="N6">
        <v>2100</v>
      </c>
    </row>
    <row r="8" spans="2:14" x14ac:dyDescent="0.3">
      <c r="B8" t="s">
        <v>31</v>
      </c>
      <c r="C8">
        <v>80</v>
      </c>
      <c r="D8">
        <v>90</v>
      </c>
      <c r="E8">
        <v>100</v>
      </c>
      <c r="F8">
        <v>110</v>
      </c>
      <c r="G8">
        <v>120</v>
      </c>
      <c r="H8">
        <v>130</v>
      </c>
      <c r="I8">
        <v>140</v>
      </c>
      <c r="J8">
        <v>150</v>
      </c>
      <c r="K8">
        <v>160</v>
      </c>
      <c r="L8">
        <v>170</v>
      </c>
      <c r="M8">
        <v>180</v>
      </c>
      <c r="N8">
        <v>200</v>
      </c>
    </row>
    <row r="10" spans="2:14" x14ac:dyDescent="0.3">
      <c r="B10" t="s">
        <v>32</v>
      </c>
      <c r="C10">
        <v>30</v>
      </c>
      <c r="D10">
        <v>30</v>
      </c>
      <c r="E10">
        <v>30</v>
      </c>
      <c r="F10">
        <v>30</v>
      </c>
      <c r="G10">
        <v>30</v>
      </c>
      <c r="H10">
        <v>30</v>
      </c>
      <c r="I10">
        <v>30</v>
      </c>
      <c r="J10">
        <v>30</v>
      </c>
      <c r="K10">
        <v>30</v>
      </c>
      <c r="L10">
        <v>30</v>
      </c>
      <c r="M10">
        <v>30</v>
      </c>
      <c r="N10">
        <v>30</v>
      </c>
    </row>
    <row r="14" spans="2:14" x14ac:dyDescent="0.3">
      <c r="B14" s="1" t="s">
        <v>44</v>
      </c>
    </row>
    <row r="15" spans="2:14" x14ac:dyDescent="0.3">
      <c r="B15" t="s">
        <v>33</v>
      </c>
      <c r="C15" s="1">
        <f>Statements!D8/'KPI''s'!C8</f>
        <v>500</v>
      </c>
      <c r="D15" s="1">
        <f>Statements!E8/'KPI''s'!D8</f>
        <v>500</v>
      </c>
      <c r="E15" s="1">
        <f>Statements!F8/'KPI''s'!E8</f>
        <v>500</v>
      </c>
      <c r="F15" s="1">
        <f>Statements!G8/'KPI''s'!F8</f>
        <v>500</v>
      </c>
      <c r="G15" s="1">
        <f>Statements!H8/'KPI''s'!G8</f>
        <v>500</v>
      </c>
      <c r="H15" s="1">
        <f>Statements!I8/'KPI''s'!H8</f>
        <v>500</v>
      </c>
      <c r="I15" s="1">
        <f>Statements!J8/'KPI''s'!I8</f>
        <v>500</v>
      </c>
      <c r="J15" s="1">
        <f>Statements!K8/'KPI''s'!J8</f>
        <v>500</v>
      </c>
      <c r="K15" s="1">
        <f>Statements!L8/'KPI''s'!K8</f>
        <v>500</v>
      </c>
      <c r="L15" s="1">
        <f>Statements!M8/'KPI''s'!L8</f>
        <v>500</v>
      </c>
      <c r="M15" s="1">
        <f>Statements!N8/'KPI''s'!M8</f>
        <v>500</v>
      </c>
      <c r="N15" s="1">
        <f>Statements!O8/'KPI''s'!N8</f>
        <v>500</v>
      </c>
    </row>
    <row r="17" spans="2:14" x14ac:dyDescent="0.3">
      <c r="B17" s="1" t="s">
        <v>34</v>
      </c>
    </row>
    <row r="18" spans="2:14" x14ac:dyDescent="0.3">
      <c r="B18" t="s">
        <v>35</v>
      </c>
      <c r="C18" s="6">
        <f>Statements!D5/'KPI''s'!C6</f>
        <v>100</v>
      </c>
      <c r="D18" s="6">
        <f>Statements!E5/'KPI''s'!D6</f>
        <v>100.95238095238095</v>
      </c>
      <c r="E18" s="6">
        <f>Statements!F5/'KPI''s'!E6</f>
        <v>100.90090090090091</v>
      </c>
      <c r="F18" s="6">
        <f>Statements!G5/'KPI''s'!F6</f>
        <v>101.69491525423729</v>
      </c>
      <c r="G18" s="6">
        <f>Statements!H5/'KPI''s'!G6</f>
        <v>101.58730158730158</v>
      </c>
      <c r="H18" s="6">
        <f>Statements!I5/'KPI''s'!H6</f>
        <v>101.48148148148148</v>
      </c>
      <c r="I18" s="6">
        <f>Statements!J5/'KPI''s'!I6</f>
        <v>102.06896551724138</v>
      </c>
      <c r="J18" s="6">
        <f>Statements!K5/'KPI''s'!J6</f>
        <v>102.56410256410257</v>
      </c>
      <c r="K18" s="6">
        <f>Statements!L5/'KPI''s'!K6</f>
        <v>102.38095238095238</v>
      </c>
      <c r="L18" s="6">
        <f>Statements!M5/'KPI''s'!L6</f>
        <v>102.20994475138122</v>
      </c>
      <c r="M18" s="6">
        <f>Statements!N5/'KPI''s'!M6</f>
        <v>102.56410256410257</v>
      </c>
      <c r="N18" s="6">
        <f>Statements!O5/'KPI''s'!N6</f>
        <v>102.38095238095238</v>
      </c>
    </row>
    <row r="20" spans="2:14" x14ac:dyDescent="0.3">
      <c r="B20" s="1" t="s">
        <v>36</v>
      </c>
    </row>
    <row r="21" spans="2:14" x14ac:dyDescent="0.3">
      <c r="B21" t="s">
        <v>37</v>
      </c>
      <c r="C21" s="8">
        <f>C18*(Statements!D47/'KPI''s'!C32)</f>
        <v>2666.666666666667</v>
      </c>
      <c r="D21" s="8">
        <f>D18*(Statements!E47/'KPI''s'!D32)</f>
        <v>2833.3333333333335</v>
      </c>
      <c r="E21" s="8">
        <f>E18*(Statements!F47/'KPI''s'!E32)</f>
        <v>3000.0000000000005</v>
      </c>
      <c r="F21" s="8">
        <f>F18*(Statements!G47/'KPI''s'!F32)</f>
        <v>3200</v>
      </c>
      <c r="G21" s="8">
        <f>G18*(Statements!H47/'KPI''s'!G32)</f>
        <v>3433.333333333333</v>
      </c>
      <c r="H21" s="8">
        <f>H18*(Statements!I47/'KPI''s'!H32)</f>
        <v>3666.666666666667</v>
      </c>
      <c r="I21" s="8">
        <f>I18*(Statements!J47/'KPI''s'!I32)</f>
        <v>3966.666666666667</v>
      </c>
      <c r="J21" s="8">
        <f>J18*(Statements!K47/'KPI''s'!J32)</f>
        <v>4266.666666666667</v>
      </c>
      <c r="K21" s="8">
        <f>K18*(Statements!L47/'KPI''s'!K32)</f>
        <v>4600</v>
      </c>
      <c r="L21" s="8">
        <f>L18*(Statements!M47/'KPI''s'!L32)</f>
        <v>4933.3333333333339</v>
      </c>
      <c r="M21" s="8">
        <f>M18*(Statements!N47/'KPI''s'!M32)</f>
        <v>5333.3333333333339</v>
      </c>
      <c r="N21" s="8">
        <f>N18*(Statements!O47/'KPI''s'!N32)</f>
        <v>5733.3333333333339</v>
      </c>
    </row>
    <row r="23" spans="2:14" x14ac:dyDescent="0.3">
      <c r="B23" s="1" t="s">
        <v>40</v>
      </c>
    </row>
    <row r="24" spans="2:14" x14ac:dyDescent="0.3">
      <c r="B24" t="s">
        <v>41</v>
      </c>
      <c r="C24" s="9">
        <f>C21/C15</f>
        <v>5.3333333333333339</v>
      </c>
      <c r="D24" s="9">
        <f t="shared" ref="D24:N24" si="0">D21/D15</f>
        <v>5.666666666666667</v>
      </c>
      <c r="E24" s="9">
        <f t="shared" si="0"/>
        <v>6.0000000000000009</v>
      </c>
      <c r="F24" s="9">
        <f t="shared" si="0"/>
        <v>6.4</v>
      </c>
      <c r="G24" s="9">
        <f t="shared" si="0"/>
        <v>6.8666666666666663</v>
      </c>
      <c r="H24" s="9">
        <f t="shared" si="0"/>
        <v>7.3333333333333339</v>
      </c>
      <c r="I24" s="9">
        <f t="shared" si="0"/>
        <v>7.9333333333333336</v>
      </c>
      <c r="J24" s="9">
        <f t="shared" si="0"/>
        <v>8.5333333333333332</v>
      </c>
      <c r="K24" s="9">
        <f t="shared" si="0"/>
        <v>9.1999999999999993</v>
      </c>
      <c r="L24" s="9">
        <f t="shared" si="0"/>
        <v>9.8666666666666671</v>
      </c>
      <c r="M24" s="9">
        <f t="shared" si="0"/>
        <v>10.666666666666668</v>
      </c>
      <c r="N24" s="9">
        <f t="shared" si="0"/>
        <v>11.466666666666669</v>
      </c>
    </row>
    <row r="32" spans="2:14" x14ac:dyDescent="0.3">
      <c r="B32" s="1" t="s">
        <v>39</v>
      </c>
      <c r="C32" s="17">
        <f>C10/C6</f>
        <v>0.03</v>
      </c>
      <c r="D32" s="17">
        <f t="shared" ref="D32:N32" si="1">D10/D6</f>
        <v>2.8571428571428571E-2</v>
      </c>
      <c r="E32" s="17">
        <f t="shared" si="1"/>
        <v>2.7027027027027029E-2</v>
      </c>
      <c r="F32" s="17">
        <f t="shared" si="1"/>
        <v>2.5423728813559324E-2</v>
      </c>
      <c r="G32" s="17">
        <f t="shared" si="1"/>
        <v>2.3809523809523808E-2</v>
      </c>
      <c r="H32" s="17">
        <f t="shared" si="1"/>
        <v>2.2222222222222223E-2</v>
      </c>
      <c r="I32" s="17">
        <f t="shared" si="1"/>
        <v>2.0689655172413793E-2</v>
      </c>
      <c r="J32" s="17">
        <f t="shared" si="1"/>
        <v>1.9230769230769232E-2</v>
      </c>
      <c r="K32" s="17">
        <f t="shared" si="1"/>
        <v>1.7857142857142856E-2</v>
      </c>
      <c r="L32" s="17">
        <f t="shared" si="1"/>
        <v>1.6574585635359115E-2</v>
      </c>
      <c r="M32" s="17">
        <f t="shared" si="1"/>
        <v>1.5384615384615385E-2</v>
      </c>
      <c r="N32" s="17">
        <f t="shared" si="1"/>
        <v>1.4285714285714285E-2</v>
      </c>
    </row>
    <row r="35" spans="2:19" x14ac:dyDescent="0.3">
      <c r="B35" s="18"/>
    </row>
    <row r="38" spans="2:19" x14ac:dyDescent="0.3">
      <c r="N38" s="16"/>
      <c r="O38" s="16"/>
      <c r="P38" s="16"/>
      <c r="Q38" s="16"/>
      <c r="R38" s="16"/>
      <c r="S38" s="16"/>
    </row>
    <row r="39" spans="2:19" x14ac:dyDescent="0.3">
      <c r="N39" s="16" t="s">
        <v>42</v>
      </c>
      <c r="O39" s="16"/>
      <c r="P39" s="16"/>
      <c r="Q39" s="16"/>
      <c r="R39" s="16"/>
      <c r="S39" s="16"/>
    </row>
    <row r="40" spans="2:19" x14ac:dyDescent="0.3">
      <c r="N40" s="16" t="s">
        <v>43</v>
      </c>
      <c r="O40" s="16"/>
      <c r="P40" s="16"/>
      <c r="Q40" s="16"/>
      <c r="R40" s="16"/>
      <c r="S40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Statements</vt:lpstr>
      <vt:lpstr>KPI's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Vishwaradhya Shreegurumath</dc:creator>
  <cp:lastModifiedBy>Vishwaradhya Shreegurumath</cp:lastModifiedBy>
  <dcterms:created xsi:type="dcterms:W3CDTF">2025-11-27T04:01:20Z</dcterms:created>
  <dcterms:modified xsi:type="dcterms:W3CDTF">2025-12-03T02:32:17Z</dcterms:modified>
</cp:coreProperties>
</file>