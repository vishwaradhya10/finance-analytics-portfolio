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A4E8F12C-F456-400D-BAD7-D6FB2A82C8E0}" xr6:coauthVersionLast="47" xr6:coauthVersionMax="47" xr10:uidLastSave="{00000000-0000-0000-0000-000000000000}"/>
  <bookViews>
    <workbookView xWindow="-108" yWindow="-108" windowWidth="23256" windowHeight="12456" xr2:uid="{985D159D-7FD8-4B39-8984-A53CEE452F15}"/>
  </bookViews>
  <sheets>
    <sheet name="Elasti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H17" i="1"/>
  <c r="H14" i="1"/>
  <c r="G15" i="1"/>
  <c r="G16" i="1"/>
  <c r="G17" i="1"/>
  <c r="G14" i="1"/>
  <c r="F15" i="1"/>
  <c r="F16" i="1"/>
  <c r="F17" i="1"/>
  <c r="F14" i="1"/>
  <c r="E15" i="1"/>
  <c r="E16" i="1"/>
  <c r="E17" i="1"/>
  <c r="E14" i="1"/>
  <c r="D15" i="1"/>
  <c r="D16" i="1"/>
  <c r="D17" i="1"/>
  <c r="D14" i="1"/>
</calcChain>
</file>

<file path=xl/sharedStrings.xml><?xml version="1.0" encoding="utf-8"?>
<sst xmlns="http://schemas.openxmlformats.org/spreadsheetml/2006/main" count="26" uniqueCount="26">
  <si>
    <t xml:space="preserve">The Inputs </t>
  </si>
  <si>
    <t>Metric</t>
  </si>
  <si>
    <t>Value</t>
  </si>
  <si>
    <t>Meaning</t>
  </si>
  <si>
    <t>Current price</t>
  </si>
  <si>
    <t>Current Users</t>
  </si>
  <si>
    <t>Current revenue</t>
  </si>
  <si>
    <t>Elasticity Assumption</t>
  </si>
  <si>
    <t>$29.00</t>
  </si>
  <si>
    <t>What we charge now.</t>
  </si>
  <si>
    <t>Active subscribers.</t>
  </si>
  <si>
    <t>Price * Users</t>
  </si>
  <si>
    <t>For every 1% price incerase, Volume drops 0.75%</t>
  </si>
  <si>
    <t>SCENARIO</t>
  </si>
  <si>
    <t>Price ($)</t>
  </si>
  <si>
    <t>% Price Change</t>
  </si>
  <si>
    <t>% Vol Change</t>
  </si>
  <si>
    <t>New Users</t>
  </si>
  <si>
    <t>New Revenue</t>
  </si>
  <si>
    <t>Impact ($)</t>
  </si>
  <si>
    <t>Baseline</t>
  </si>
  <si>
    <t>Small Hike</t>
  </si>
  <si>
    <t>Target</t>
  </si>
  <si>
    <t>Aggressive</t>
  </si>
  <si>
    <t>Created By : Vishwaradhya Ms | FP&amp;A Startup Finance Analyst</t>
  </si>
  <si>
    <t xml:space="preserve">Model created manually for demonstration purpose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</si>
</sst>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;\ \(0.00\)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3" tint="0.249977111117893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9" fontId="2" fillId="0" borderId="0" xfId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1" applyNumberFormat="1" applyFont="1"/>
    <xf numFmtId="0" fontId="5" fillId="2" borderId="0" xfId="0" applyFont="1" applyFill="1"/>
    <xf numFmtId="9" fontId="3" fillId="0" borderId="0" xfId="1" applyFont="1"/>
    <xf numFmtId="165" fontId="3" fillId="0" borderId="0" xfId="1" applyNumberFormat="1" applyFont="1"/>
    <xf numFmtId="164" fontId="3" fillId="0" borderId="0" xfId="0" applyNumberFormat="1" applyFont="1"/>
    <xf numFmtId="165" fontId="3" fillId="0" borderId="0" xfId="0" applyNumberFormat="1" applyFont="1"/>
    <xf numFmtId="0" fontId="6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E2CC-E03A-43D9-93A0-5438309A6171}">
  <dimension ref="B3:P31"/>
  <sheetViews>
    <sheetView showGridLines="0" tabSelected="1" topLeftCell="A9" zoomScaleNormal="100" workbookViewId="0">
      <selection activeCell="K34" sqref="K34"/>
    </sheetView>
  </sheetViews>
  <sheetFormatPr defaultRowHeight="13.8" x14ac:dyDescent="0.25"/>
  <cols>
    <col min="1" max="1" width="2.77734375" style="1" customWidth="1"/>
    <col min="2" max="2" width="19.44140625" style="1" customWidth="1"/>
    <col min="3" max="26" width="15.77734375" style="1" customWidth="1"/>
    <col min="27" max="16384" width="8.88671875" style="1"/>
  </cols>
  <sheetData>
    <row r="3" spans="2:8" x14ac:dyDescent="0.25">
      <c r="B3" s="2" t="s">
        <v>0</v>
      </c>
    </row>
    <row r="5" spans="2:8" x14ac:dyDescent="0.25">
      <c r="B5" s="2" t="s">
        <v>1</v>
      </c>
      <c r="C5" s="2" t="s">
        <v>2</v>
      </c>
      <c r="D5" s="2" t="s">
        <v>3</v>
      </c>
    </row>
    <row r="6" spans="2:8" ht="14.4" x14ac:dyDescent="0.3">
      <c r="B6" s="1" t="s">
        <v>4</v>
      </c>
      <c r="C6" s="3" t="s">
        <v>8</v>
      </c>
      <c r="D6" t="s">
        <v>9</v>
      </c>
    </row>
    <row r="7" spans="2:8" ht="14.4" x14ac:dyDescent="0.3">
      <c r="B7" s="1" t="s">
        <v>5</v>
      </c>
      <c r="C7" s="3">
        <v>10000</v>
      </c>
      <c r="D7" t="s">
        <v>10</v>
      </c>
    </row>
    <row r="8" spans="2:8" ht="14.4" x14ac:dyDescent="0.3">
      <c r="B8" s="1" t="s">
        <v>6</v>
      </c>
      <c r="C8" s="3">
        <v>290000</v>
      </c>
      <c r="D8" t="s">
        <v>11</v>
      </c>
    </row>
    <row r="9" spans="2:8" x14ac:dyDescent="0.25">
      <c r="B9" s="1" t="s">
        <v>7</v>
      </c>
      <c r="C9" s="3">
        <v>-0.75</v>
      </c>
      <c r="D9" s="1" t="s">
        <v>12</v>
      </c>
    </row>
    <row r="12" spans="2:8" x14ac:dyDescent="0.25"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H12" s="8" t="s">
        <v>19</v>
      </c>
    </row>
    <row r="14" spans="2:8" x14ac:dyDescent="0.25">
      <c r="B14" s="1" t="s">
        <v>20</v>
      </c>
      <c r="C14" s="1">
        <v>29</v>
      </c>
      <c r="D14" s="4">
        <f>(C14-$C$14)/$C$14</f>
        <v>0</v>
      </c>
      <c r="E14" s="4">
        <f>D14*$C$9</f>
        <v>0</v>
      </c>
      <c r="F14" s="5">
        <f>$C$7*(1+E14)</f>
        <v>10000</v>
      </c>
      <c r="G14" s="5">
        <f>C14*F14</f>
        <v>290000</v>
      </c>
      <c r="H14" s="6">
        <f>G14-$C$8</f>
        <v>0</v>
      </c>
    </row>
    <row r="15" spans="2:8" x14ac:dyDescent="0.25">
      <c r="B15" s="1" t="s">
        <v>21</v>
      </c>
      <c r="C15" s="1">
        <v>34</v>
      </c>
      <c r="D15" s="4">
        <f t="shared" ref="D15:D17" si="0">(C15-$C$14)/$C$14</f>
        <v>0.17241379310344829</v>
      </c>
      <c r="E15" s="7">
        <f t="shared" ref="E15:E17" si="1">D15*$C$9</f>
        <v>-0.12931034482758622</v>
      </c>
      <c r="F15" s="5">
        <f t="shared" ref="F15:F17" si="2">$C$7*(1+E15)</f>
        <v>8706.8965517241377</v>
      </c>
      <c r="G15" s="5">
        <f>C15*F15</f>
        <v>296034.4827586207</v>
      </c>
      <c r="H15" s="6">
        <f t="shared" ref="H15:H17" si="3">G15-$C$8</f>
        <v>6034.4827586206957</v>
      </c>
    </row>
    <row r="16" spans="2:8" x14ac:dyDescent="0.25">
      <c r="B16" s="2" t="s">
        <v>22</v>
      </c>
      <c r="C16" s="2">
        <v>39</v>
      </c>
      <c r="D16" s="9">
        <f t="shared" si="0"/>
        <v>0.34482758620689657</v>
      </c>
      <c r="E16" s="10">
        <f t="shared" si="1"/>
        <v>-0.25862068965517243</v>
      </c>
      <c r="F16" s="11">
        <f t="shared" si="2"/>
        <v>7413.7931034482763</v>
      </c>
      <c r="G16" s="11">
        <f t="shared" ref="G16:G17" si="4">C16*F16</f>
        <v>289137.93103448278</v>
      </c>
      <c r="H16" s="12">
        <f t="shared" si="3"/>
        <v>-862.06896551721729</v>
      </c>
    </row>
    <row r="17" spans="2:16" x14ac:dyDescent="0.25">
      <c r="B17" s="1" t="s">
        <v>23</v>
      </c>
      <c r="C17" s="1">
        <v>49</v>
      </c>
      <c r="D17" s="4">
        <f t="shared" si="0"/>
        <v>0.68965517241379315</v>
      </c>
      <c r="E17" s="7">
        <f t="shared" si="1"/>
        <v>-0.51724137931034486</v>
      </c>
      <c r="F17" s="5">
        <f t="shared" si="2"/>
        <v>4827.5862068965516</v>
      </c>
      <c r="G17" s="5">
        <f t="shared" si="4"/>
        <v>236551.72413793104</v>
      </c>
      <c r="H17" s="6">
        <f t="shared" si="3"/>
        <v>-53448.275862068956</v>
      </c>
    </row>
    <row r="29" spans="2:16" ht="14.4" x14ac:dyDescent="0.3">
      <c r="K29" s="13"/>
      <c r="L29" s="13"/>
      <c r="M29" s="13"/>
      <c r="N29" s="13"/>
      <c r="O29" s="13"/>
      <c r="P29" s="13"/>
    </row>
    <row r="30" spans="2:16" ht="14.4" x14ac:dyDescent="0.3">
      <c r="K30" s="13" t="s">
        <v>24</v>
      </c>
      <c r="L30" s="13"/>
      <c r="M30" s="13"/>
      <c r="N30" s="13"/>
      <c r="O30" s="13"/>
      <c r="P30" s="13"/>
    </row>
    <row r="31" spans="2:16" ht="14.4" x14ac:dyDescent="0.3">
      <c r="K31" s="13" t="s">
        <v>25</v>
      </c>
      <c r="L31" s="13"/>
      <c r="M31" s="13"/>
      <c r="N31" s="13"/>
      <c r="O31" s="13"/>
      <c r="P3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Elasticity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2025-12-01T10:15:52Z</dcterms:created>
  <dcterms:modified xsi:type="dcterms:W3CDTF">2025-12-03T02:32:49Z</dcterms:modified>
</cp:coreProperties>
</file>