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ishwaradhya\Downloads\"/>
    </mc:Choice>
  </mc:AlternateContent>
  <xr:revisionPtr revIDLastSave="0" documentId="13_ncr:1_{1D8CC26F-BDC9-43BD-980E-2A19344AAE69}" xr6:coauthVersionLast="47" xr6:coauthVersionMax="47" xr10:uidLastSave="{00000000-0000-0000-0000-000000000000}"/>
  <bookViews>
    <workbookView xWindow="-108" yWindow="-108" windowWidth="23256" windowHeight="12456" tabRatio="598" activeTab="3" xr2:uid="{B7A55CED-1F27-4E58-B22F-1DCF696534BB}"/>
  </bookViews>
  <sheets>
    <sheet name="BvA report" sheetId="1" r:id="rId1"/>
    <sheet name="Sales (ROI)" sheetId="2" r:id="rId2"/>
    <sheet name="Revenue Report" sheetId="4" r:id="rId3"/>
    <sheet name="Financial Statement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5" l="1"/>
  <c r="F29" i="5"/>
  <c r="G29" i="5"/>
  <c r="H29" i="5"/>
  <c r="I29" i="5"/>
  <c r="J29" i="5"/>
  <c r="K29" i="5"/>
  <c r="L29" i="5"/>
  <c r="M29" i="5"/>
  <c r="N29" i="5"/>
  <c r="O29" i="5"/>
  <c r="D29" i="5"/>
  <c r="E27" i="5"/>
  <c r="F27" i="5"/>
  <c r="G27" i="5"/>
  <c r="H27" i="5"/>
  <c r="I27" i="5"/>
  <c r="J27" i="5"/>
  <c r="K27" i="5"/>
  <c r="L27" i="5"/>
  <c r="M27" i="5"/>
  <c r="N27" i="5"/>
  <c r="O27" i="5"/>
  <c r="D27" i="5"/>
  <c r="D26" i="5" a="1"/>
  <c r="D26" i="5" s="1"/>
  <c r="D25" i="5" a="1"/>
  <c r="D25" i="5" s="1"/>
  <c r="D24" i="5" a="1"/>
  <c r="D24" i="5" s="1"/>
  <c r="D23" i="5" a="1"/>
  <c r="D23" i="5" s="1"/>
  <c r="D22" i="5" a="1"/>
  <c r="D22" i="5" s="1"/>
  <c r="E18" i="5"/>
  <c r="F18" i="5"/>
  <c r="F19" i="5" s="1"/>
  <c r="G18" i="5"/>
  <c r="H18" i="5"/>
  <c r="I18" i="5"/>
  <c r="I19" i="5" s="1"/>
  <c r="J18" i="5"/>
  <c r="J19" i="5" s="1"/>
  <c r="K18" i="5"/>
  <c r="K19" i="5" s="1"/>
  <c r="L18" i="5"/>
  <c r="M18" i="5"/>
  <c r="N18" i="5"/>
  <c r="N19" i="5" s="1"/>
  <c r="O18" i="5"/>
  <c r="E19" i="5"/>
  <c r="G19" i="5"/>
  <c r="H19" i="5"/>
  <c r="L19" i="5"/>
  <c r="M19" i="5"/>
  <c r="O19" i="5"/>
  <c r="D19" i="5"/>
  <c r="D18" i="5"/>
  <c r="E16" i="5"/>
  <c r="F16" i="5"/>
  <c r="G16" i="5"/>
  <c r="H16" i="5"/>
  <c r="I16" i="5"/>
  <c r="J16" i="5"/>
  <c r="K16" i="5"/>
  <c r="L16" i="5"/>
  <c r="M16" i="5"/>
  <c r="N16" i="5"/>
  <c r="O16" i="5"/>
  <c r="D16" i="5"/>
  <c r="D15" i="5" a="1"/>
  <c r="D15" i="5" s="1"/>
  <c r="D14" i="5" a="1"/>
  <c r="D14" i="5" s="1"/>
  <c r="D13" i="5" a="1"/>
  <c r="D13" i="5" s="1"/>
  <c r="E9" i="5"/>
  <c r="F9" i="5"/>
  <c r="G9" i="5"/>
  <c r="H9" i="5"/>
  <c r="I9" i="5"/>
  <c r="J9" i="5"/>
  <c r="K9" i="5"/>
  <c r="L9" i="5"/>
  <c r="M9" i="5"/>
  <c r="N9" i="5"/>
  <c r="O9" i="5"/>
  <c r="D9" i="5"/>
  <c r="D8" i="5" a="1"/>
  <c r="D8" i="5" s="1"/>
  <c r="D7" i="5" a="1"/>
  <c r="D7" i="5" s="1"/>
  <c r="D78" i="4" a="1"/>
  <c r="D78" i="4" s="1"/>
  <c r="D73" i="4" a="1"/>
  <c r="D73" i="4" s="1"/>
  <c r="D68" i="4" a="1"/>
  <c r="D68" i="4" s="1"/>
  <c r="D54" i="4" a="1"/>
  <c r="D54" i="4" s="1"/>
  <c r="E52" i="4"/>
  <c r="F52" i="4"/>
  <c r="G52" i="4"/>
  <c r="H52" i="4"/>
  <c r="I52" i="4"/>
  <c r="J52" i="4"/>
  <c r="K52" i="4"/>
  <c r="L52" i="4"/>
  <c r="M52" i="4"/>
  <c r="N52" i="4"/>
  <c r="O52" i="4"/>
  <c r="D52" i="4"/>
  <c r="E49" i="4"/>
  <c r="F49" i="4"/>
  <c r="G49" i="4"/>
  <c r="H49" i="4"/>
  <c r="I49" i="4"/>
  <c r="J49" i="4"/>
  <c r="K49" i="4"/>
  <c r="L49" i="4"/>
  <c r="M49" i="4"/>
  <c r="N49" i="4"/>
  <c r="O49" i="4"/>
  <c r="D49" i="4"/>
  <c r="E46" i="4"/>
  <c r="F46" i="4"/>
  <c r="G46" i="4"/>
  <c r="H46" i="4"/>
  <c r="I46" i="4"/>
  <c r="J46" i="4"/>
  <c r="K46" i="4"/>
  <c r="L46" i="4"/>
  <c r="M46" i="4"/>
  <c r="N46" i="4"/>
  <c r="O46" i="4"/>
  <c r="D46" i="4"/>
  <c r="D24" i="4"/>
  <c r="D26" i="4"/>
  <c r="D12" i="4"/>
  <c r="D28" i="4"/>
  <c r="E12" i="4"/>
  <c r="F7" i="4" s="1"/>
  <c r="E10" i="4"/>
  <c r="E7" i="4"/>
  <c r="D14" i="4"/>
  <c r="D10" i="4"/>
  <c r="G15" i="2"/>
  <c r="H15" i="2" s="1"/>
  <c r="I15" i="2" s="1"/>
  <c r="J15" i="2" s="1"/>
  <c r="K15" i="2" s="1"/>
  <c r="L15" i="2" s="1"/>
  <c r="M15" i="2" s="1"/>
  <c r="N15" i="2" s="1"/>
  <c r="O15" i="2" s="1"/>
  <c r="P15" i="2" s="1"/>
  <c r="F15" i="2"/>
  <c r="E15" i="2"/>
  <c r="F14" i="2"/>
  <c r="G14" i="2"/>
  <c r="H14" i="2"/>
  <c r="I14" i="2"/>
  <c r="J14" i="2"/>
  <c r="K14" i="2"/>
  <c r="L14" i="2"/>
  <c r="M14" i="2"/>
  <c r="N14" i="2"/>
  <c r="O14" i="2"/>
  <c r="P14" i="2"/>
  <c r="E14" i="2"/>
  <c r="F11" i="2"/>
  <c r="G11" i="2"/>
  <c r="H11" i="2"/>
  <c r="I11" i="2"/>
  <c r="J11" i="2"/>
  <c r="K11" i="2"/>
  <c r="L11" i="2"/>
  <c r="M11" i="2"/>
  <c r="N11" i="2"/>
  <c r="O11" i="2"/>
  <c r="P11" i="2"/>
  <c r="E11" i="2"/>
  <c r="I9" i="2"/>
  <c r="J9" i="2"/>
  <c r="K9" i="2"/>
  <c r="L9" i="2"/>
  <c r="M9" i="2"/>
  <c r="N9" i="2"/>
  <c r="O9" i="2"/>
  <c r="P9" i="2"/>
  <c r="H9" i="2"/>
  <c r="F9" i="2"/>
  <c r="G9" i="2"/>
  <c r="E9" i="2"/>
  <c r="F8" i="2"/>
  <c r="G8" i="2" s="1"/>
  <c r="H8" i="2" s="1"/>
  <c r="I8" i="2" s="1"/>
  <c r="J8" i="2" s="1"/>
  <c r="K8" i="2" s="1"/>
  <c r="L8" i="2" s="1"/>
  <c r="M8" i="2" s="1"/>
  <c r="N8" i="2" s="1"/>
  <c r="O8" i="2" s="1"/>
  <c r="P8" i="2" s="1"/>
  <c r="F5" i="1"/>
  <c r="F6" i="1"/>
  <c r="F7" i="1"/>
  <c r="F8" i="1"/>
  <c r="F9" i="1"/>
  <c r="F10" i="1"/>
  <c r="E6" i="1"/>
  <c r="E7" i="1"/>
  <c r="E8" i="1"/>
  <c r="E9" i="1"/>
  <c r="E10" i="1"/>
  <c r="E5" i="1"/>
  <c r="F10" i="4" l="1"/>
  <c r="F12" i="4" s="1"/>
  <c r="E14" i="4"/>
  <c r="E21" i="4"/>
  <c r="G7" i="4" l="1"/>
  <c r="F14" i="4"/>
  <c r="E24" i="4"/>
  <c r="E26" i="4" s="1"/>
  <c r="G10" i="4" l="1"/>
  <c r="G12" i="4" s="1"/>
  <c r="E28" i="4"/>
  <c r="F21" i="4"/>
  <c r="H7" i="4" l="1"/>
  <c r="H10" i="4" s="1"/>
  <c r="H12" i="4" s="1"/>
  <c r="G14" i="4"/>
  <c r="F24" i="4"/>
  <c r="F26" i="4" s="1"/>
  <c r="I7" i="4" l="1"/>
  <c r="I10" i="4" s="1"/>
  <c r="I12" i="4" s="1"/>
  <c r="H14" i="4"/>
  <c r="G21" i="4"/>
  <c r="F28" i="4"/>
  <c r="J7" i="4" l="1"/>
  <c r="J10" i="4" s="1"/>
  <c r="J12" i="4" s="1"/>
  <c r="I14" i="4"/>
  <c r="G24" i="4"/>
  <c r="G26" i="4" s="1"/>
  <c r="G28" i="4" l="1"/>
  <c r="H21" i="4"/>
  <c r="K7" i="4"/>
  <c r="J14" i="4"/>
  <c r="H24" i="4" l="1"/>
  <c r="H26" i="4" s="1"/>
  <c r="K12" i="4"/>
  <c r="K10" i="4"/>
  <c r="I21" i="4" l="1"/>
  <c r="H28" i="4"/>
  <c r="L7" i="4"/>
  <c r="K14" i="4"/>
  <c r="I24" i="4" l="1"/>
  <c r="I26" i="4"/>
  <c r="L10" i="4"/>
  <c r="L12" i="4" s="1"/>
  <c r="J21" i="4" l="1"/>
  <c r="I28" i="4"/>
  <c r="M7" i="4"/>
  <c r="M10" i="4" s="1"/>
  <c r="M12" i="4" s="1"/>
  <c r="L14" i="4"/>
  <c r="J24" i="4" l="1"/>
  <c r="J26" i="4"/>
  <c r="N7" i="4"/>
  <c r="M14" i="4"/>
  <c r="K21" i="4" l="1"/>
  <c r="K24" i="4" s="1"/>
  <c r="K26" i="4" s="1"/>
  <c r="J28" i="4"/>
  <c r="N10" i="4"/>
  <c r="N12" i="4" s="1"/>
  <c r="L21" i="4" l="1"/>
  <c r="K28" i="4"/>
  <c r="O7" i="4"/>
  <c r="O10" i="4" s="1"/>
  <c r="O12" i="4" s="1"/>
  <c r="O14" i="4" s="1"/>
  <c r="N14" i="4"/>
  <c r="L24" i="4" l="1"/>
  <c r="L26" i="4" s="1"/>
  <c r="M21" i="4" l="1"/>
  <c r="L28" i="4"/>
  <c r="M24" i="4" l="1"/>
  <c r="M26" i="4"/>
  <c r="N21" i="4" l="1"/>
  <c r="N24" i="4" s="1"/>
  <c r="N26" i="4" s="1"/>
  <c r="M28" i="4"/>
  <c r="O21" i="4" l="1"/>
  <c r="O24" i="4" s="1"/>
  <c r="O26" i="4" s="1"/>
  <c r="O28" i="4" s="1"/>
  <c r="N2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<sst xmlns="http://schemas.openxmlformats.org/spreadsheetml/2006/main" count="182" uniqueCount="124">
  <si>
    <t>GL Account</t>
  </si>
  <si>
    <t xml:space="preserve">Budget </t>
  </si>
  <si>
    <t>Actuals</t>
  </si>
  <si>
    <t>Variance (%)</t>
  </si>
  <si>
    <t>Commentory</t>
  </si>
  <si>
    <t>Variance ($)</t>
  </si>
  <si>
    <t>Revenue</t>
  </si>
  <si>
    <t>COGS</t>
  </si>
  <si>
    <t>Salaries</t>
  </si>
  <si>
    <t>Marketing</t>
  </si>
  <si>
    <t>Software/Rent</t>
  </si>
  <si>
    <t>Travel</t>
  </si>
  <si>
    <t>Missed target (-16%) driven by Enterprise contract slip to Jan-25 and unexpected spike in Pro churn.</t>
  </si>
  <si>
    <t>Unfavorable variance due to 10% price increase from AWS server provider.</t>
  </si>
  <si>
    <t>Favorable variance due to 2-week delay in hiring Senior Developer</t>
  </si>
  <si>
    <t>Overspend driven by accidental doubling of LinkedIn Ad budget; corrective action taken</t>
  </si>
  <si>
    <t>On plan</t>
  </si>
  <si>
    <t>Unplanned expense due to emergency Sales team onsite visit to close Enterprise deal.</t>
  </si>
  <si>
    <t>Line Item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</si>
  <si>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</si>
  <si>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</si>
  <si>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</si>
  <si>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</si>
  <si>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</si>
  <si>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</si>
  <si>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</si>
  <si>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</si>
  <si>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</si>
  <si>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</si>
  <si>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</si>
  <si>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</si>
  <si>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Sales Revenue</t>
  </si>
  <si>
    <t>COSTS</t>
  </si>
  <si>
    <t>REVENUE</t>
  </si>
  <si>
    <t>Base Salary</t>
  </si>
  <si>
    <t>Commission</t>
  </si>
  <si>
    <t>One-Time Costs</t>
  </si>
  <si>
    <t>TOTAL COST</t>
  </si>
  <si>
    <t>RETURN</t>
  </si>
  <si>
    <t>Net Profit</t>
  </si>
  <si>
    <t>Cumulative</t>
  </si>
  <si>
    <t>The Inputs</t>
  </si>
  <si>
    <t>Target Quota</t>
  </si>
  <si>
    <t>Ramp time</t>
  </si>
  <si>
    <t>$5000</t>
  </si>
  <si>
    <t>$30000</t>
  </si>
  <si>
    <t>3 Months</t>
  </si>
  <si>
    <t>$12000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</si>
  <si>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</si>
  <si>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</si>
  <si>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</si>
  <si>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</si>
  <si>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</si>
  <si>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</si>
  <si>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</si>
  <si>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</si>
  <si>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</si>
  <si>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</si>
  <si>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</si>
  <si>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</si>
  <si>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Beginning Pro Customers</t>
  </si>
  <si>
    <t>New Customers</t>
  </si>
  <si>
    <t>Churn Count</t>
  </si>
  <si>
    <t>Ending Pro Customers</t>
  </si>
  <si>
    <t>Pro Revenue</t>
  </si>
  <si>
    <t>PRO CUSTOMERS</t>
  </si>
  <si>
    <t>ENTERPRISE CUSTOMERS</t>
  </si>
  <si>
    <t>Beginning Ent Customers</t>
  </si>
  <si>
    <t>Ending Ent Customers</t>
  </si>
  <si>
    <t>ENT Revenue</t>
  </si>
  <si>
    <t>Pro price</t>
  </si>
  <si>
    <t>Entprise Price</t>
  </si>
  <si>
    <t>Pro Churn</t>
  </si>
  <si>
    <t>Enterprise Churn</t>
  </si>
  <si>
    <t>$50</t>
  </si>
  <si>
    <t>$1000</t>
  </si>
  <si>
    <t>HEADCOUNT &amp; OPEX</t>
  </si>
  <si>
    <t>Role</t>
  </si>
  <si>
    <t>R&amp;D Headcount</t>
  </si>
  <si>
    <t>Sales Headcount</t>
  </si>
  <si>
    <t>G&amp;A Headcount</t>
  </si>
  <si>
    <t>Salaries (R&amp;D)</t>
  </si>
  <si>
    <t>Salaries (Sales)</t>
  </si>
  <si>
    <t>Salaries (G&amp;A)</t>
  </si>
  <si>
    <t>Hosting Costs</t>
  </si>
  <si>
    <t>Salary (R&amp;D)</t>
  </si>
  <si>
    <t>Salary (Sales)</t>
  </si>
  <si>
    <t>Hosting Cost</t>
  </si>
  <si>
    <t>$10,000 / mo</t>
  </si>
  <si>
    <t>$6,000 / mo</t>
  </si>
  <si>
    <t>$5.00 per Customer</t>
  </si>
  <si>
    <t>$8000 for admin</t>
  </si>
  <si>
    <t xml:space="preserve"> Payment Processing Fees (COGS)</t>
  </si>
  <si>
    <r>
      <t>Assumption:</t>
    </r>
    <r>
      <rPr>
        <sz val="11"/>
        <color theme="1"/>
        <rFont val="Calibri"/>
        <family val="2"/>
      </rPr>
      <t xml:space="preserve"> 3% of Total Revenue</t>
    </r>
  </si>
  <si>
    <r>
      <t>Why:</t>
    </r>
    <r>
      <rPr>
        <sz val="11"/>
        <color theme="1"/>
        <rFont val="Calibri"/>
        <family val="2"/>
      </rPr>
      <t xml:space="preserve"> Stripe/PayPal takes a cut of every sale.</t>
    </r>
  </si>
  <si>
    <t>Values</t>
  </si>
  <si>
    <t>Premium Support Costs (COGS)</t>
  </si>
  <si>
    <r>
      <t>Assumption:</t>
    </r>
    <r>
      <rPr>
        <sz val="11"/>
        <color theme="1"/>
        <rFont val="Calibri"/>
        <family val="2"/>
      </rPr>
      <t xml:space="preserve"> $10.00 per </t>
    </r>
    <r>
      <rPr>
        <b/>
        <sz val="11"/>
        <color theme="1"/>
        <rFont val="Calibri"/>
        <family val="2"/>
      </rPr>
      <t>Enterprise</t>
    </r>
    <r>
      <rPr>
        <sz val="11"/>
        <color theme="1"/>
        <rFont val="Calibri"/>
        <family val="2"/>
      </rPr>
      <t xml:space="preserve"> Customer.</t>
    </r>
  </si>
  <si>
    <r>
      <t>Why:</t>
    </r>
    <r>
      <rPr>
        <sz val="11"/>
        <color theme="1"/>
        <rFont val="Calibri"/>
        <family val="2"/>
      </rPr>
      <t xml:space="preserve"> Enterprise clients need human support, which costs money.</t>
    </r>
  </si>
  <si>
    <t>Office &amp; Overhead (OpEx)</t>
  </si>
  <si>
    <r>
      <t>Assumption:</t>
    </r>
    <r>
      <rPr>
        <sz val="11"/>
        <color theme="1"/>
        <rFont val="Calibri"/>
        <family val="2"/>
      </rPr>
      <t xml:space="preserve"> $2,000 per Employee (Rent, Laptops, Software).</t>
    </r>
  </si>
  <si>
    <r>
      <t>Why:</t>
    </r>
    <r>
      <rPr>
        <sz val="11"/>
        <color theme="1"/>
        <rFont val="Calibri"/>
        <family val="2"/>
      </rPr>
      <t xml:space="preserve"> Salaries aren't the only cost of an employee</t>
    </r>
  </si>
  <si>
    <t>Marketing Spend (OpEx)</t>
  </si>
  <si>
    <r>
      <t>Assumption:</t>
    </r>
    <r>
      <rPr>
        <sz val="11"/>
        <color theme="1"/>
        <rFont val="Calibri"/>
        <family val="2"/>
      </rPr>
      <t xml:space="preserve"> Manual Inputs from the Case Study Table</t>
    </r>
  </si>
  <si>
    <t>Income Statement</t>
  </si>
  <si>
    <t xml:space="preserve">Feb </t>
  </si>
  <si>
    <t>Enterprise Revenue</t>
  </si>
  <si>
    <t>Total Revenue</t>
  </si>
  <si>
    <t>COST OF SALES (COGS)</t>
  </si>
  <si>
    <t>Payment Fees</t>
  </si>
  <si>
    <t>Support Costs</t>
  </si>
  <si>
    <t>Total COGS</t>
  </si>
  <si>
    <t>GROSS PROFIT</t>
  </si>
  <si>
    <t>Gross Margin %</t>
  </si>
  <si>
    <t>OPERATING EXPENSES</t>
  </si>
  <si>
    <t>R&amp;D Salaries</t>
  </si>
  <si>
    <t>Sales Salaries</t>
  </si>
  <si>
    <t>G&amp;A Salaries</t>
  </si>
  <si>
    <t>Office &amp; Overhead</t>
  </si>
  <si>
    <t>Total OpEx</t>
  </si>
  <si>
    <t>NET INCOME</t>
  </si>
  <si>
    <t>x</t>
  </si>
  <si>
    <t>Created By : Vishwaradhya Ms | FP&amp;A Startup Finance Analyst</t>
  </si>
  <si>
    <t xml:space="preserve">Model created manually for demonstration purpose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</si>
</sst>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$-409]* #,##0_ ;_-[$$-409]* \-#,##0\ ;_-[$$-409]* &quot;-&quot;??_ ;_-@_ "/>
    <numFmt numFmtId="165" formatCode="0.0"/>
    <numFmt numFmtId="166" formatCode="#,##0.0"/>
    <numFmt numFmtId="167" formatCode="#,##0.0_ ;\-#,##0.0\ "/>
    <numFmt numFmtId="168" formatCode="0.00;\ \(0.00\)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</font>
    <font>
      <b/>
      <sz val="11"/>
      <color theme="2"/>
      <name val="Times New Roman"/>
      <family val="1"/>
    </font>
    <font>
      <sz val="11"/>
      <color theme="3" tint="0.249977111117893"/>
      <name val="Times New Roman"/>
      <family val="1"/>
    </font>
    <font>
      <i/>
      <sz val="11"/>
      <color theme="1"/>
      <name val="Calibri"/>
      <family val="2"/>
    </font>
    <font>
      <sz val="11"/>
      <color theme="3" tint="0.249977111117893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9" fontId="7" fillId="0" borderId="0" xfId="0" applyNumberFormat="1" applyFont="1" applyAlignment="1">
      <alignment horizontal="left" vertical="top"/>
    </xf>
    <xf numFmtId="2" fontId="4" fillId="0" borderId="0" xfId="0" applyNumberFormat="1" applyFont="1"/>
    <xf numFmtId="1" fontId="4" fillId="0" borderId="0" xfId="0" applyNumberFormat="1" applyFont="1"/>
    <xf numFmtId="165" fontId="4" fillId="0" borderId="0" xfId="0" applyNumberFormat="1" applyFont="1"/>
    <xf numFmtId="0" fontId="8" fillId="0" borderId="0" xfId="0" applyFont="1"/>
    <xf numFmtId="0" fontId="9" fillId="0" borderId="0" xfId="0" applyFont="1"/>
    <xf numFmtId="0" fontId="2" fillId="0" borderId="1" xfId="0" applyFont="1" applyBorder="1"/>
    <xf numFmtId="0" fontId="4" fillId="0" borderId="1" xfId="0" applyFont="1" applyBorder="1"/>
    <xf numFmtId="1" fontId="2" fillId="0" borderId="1" xfId="0" applyNumberFormat="1" applyFont="1" applyBorder="1"/>
    <xf numFmtId="0" fontId="0" fillId="0" borderId="1" xfId="0" applyBorder="1"/>
    <xf numFmtId="0" fontId="10" fillId="0" borderId="1" xfId="0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10" fillId="0" borderId="0" xfId="0" applyFont="1"/>
    <xf numFmtId="166" fontId="0" fillId="0" borderId="0" xfId="0" applyNumberFormat="1"/>
    <xf numFmtId="9" fontId="0" fillId="0" borderId="0" xfId="1" applyFont="1"/>
    <xf numFmtId="0" fontId="11" fillId="2" borderId="0" xfId="0" applyFont="1" applyFill="1"/>
    <xf numFmtId="0" fontId="10" fillId="0" borderId="2" xfId="0" applyFont="1" applyBorder="1"/>
    <xf numFmtId="0" fontId="0" fillId="0" borderId="2" xfId="0" applyBorder="1"/>
    <xf numFmtId="168" fontId="10" fillId="0" borderId="2" xfId="0" applyNumberFormat="1" applyFont="1" applyBorder="1"/>
    <xf numFmtId="166" fontId="10" fillId="0" borderId="1" xfId="0" applyNumberFormat="1" applyFont="1" applyBorder="1"/>
    <xf numFmtId="0" fontId="2" fillId="0" borderId="2" xfId="0" applyFont="1" applyBorder="1"/>
    <xf numFmtId="164" fontId="4" fillId="0" borderId="0" xfId="0" applyNumberFormat="1" applyFont="1"/>
    <xf numFmtId="9" fontId="4" fillId="0" borderId="0" xfId="1" applyFont="1" applyBorder="1"/>
    <xf numFmtId="0" fontId="12" fillId="2" borderId="0" xfId="0" applyFont="1" applyFill="1"/>
    <xf numFmtId="0" fontId="10" fillId="3" borderId="0" xfId="0" applyFont="1" applyFill="1"/>
    <xf numFmtId="0" fontId="0" fillId="3" borderId="0" xfId="0" applyFill="1"/>
  </cellXfs>
  <cellStyles count="2">
    <cellStyle name="Normal" xfId="0" builtinId="0"/>
    <cellStyle name="Percent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F43E-81E7-4906-8B1A-696BCE11DD65}">
  <sheetPr codeName="Sheet1"/>
  <dimension ref="B1:P23"/>
  <sheetViews>
    <sheetView showGridLines="0" topLeftCell="D9" workbookViewId="0">
      <selection activeCell="K22" sqref="K22:P23"/>
    </sheetView>
  </sheetViews>
  <sheetFormatPr defaultRowHeight="14.4" x14ac:dyDescent="0.3"/>
  <cols>
    <col min="1" max="1" width="2.77734375" customWidth="1"/>
    <col min="2" max="6" width="14.77734375" customWidth="1"/>
    <col min="7" max="7" width="83.109375" bestFit="1" customWidth="1"/>
  </cols>
  <sheetData>
    <row r="1" spans="2:7" ht="16.05" customHeight="1" x14ac:dyDescent="0.3"/>
    <row r="2" spans="2:7" ht="16.05" customHeight="1" x14ac:dyDescent="0.3"/>
    <row r="3" spans="2:7" ht="16.05" customHeight="1" x14ac:dyDescent="0.3">
      <c r="B3" s="1" t="s">
        <v>0</v>
      </c>
      <c r="C3" s="1" t="s">
        <v>1</v>
      </c>
      <c r="D3" s="1" t="s">
        <v>2</v>
      </c>
      <c r="E3" s="1" t="s">
        <v>5</v>
      </c>
      <c r="F3" s="1" t="s">
        <v>3</v>
      </c>
      <c r="G3" s="1" t="s">
        <v>4</v>
      </c>
    </row>
    <row r="4" spans="2:7" ht="16.05" customHeight="1" x14ac:dyDescent="0.3"/>
    <row r="5" spans="2:7" ht="16.05" customHeight="1" x14ac:dyDescent="0.3">
      <c r="B5" s="2" t="s">
        <v>6</v>
      </c>
      <c r="C5" s="28">
        <v>250000</v>
      </c>
      <c r="D5" s="28">
        <v>210000</v>
      </c>
      <c r="E5" s="28">
        <f>D5-C5</f>
        <v>-40000</v>
      </c>
      <c r="F5" s="29">
        <f>(D5-C5)/C5</f>
        <v>-0.16</v>
      </c>
      <c r="G5" t="s">
        <v>12</v>
      </c>
    </row>
    <row r="6" spans="2:7" ht="16.05" customHeight="1" x14ac:dyDescent="0.3">
      <c r="B6" s="2" t="s">
        <v>7</v>
      </c>
      <c r="C6" s="28">
        <v>50000</v>
      </c>
      <c r="D6" s="28">
        <v>55000</v>
      </c>
      <c r="E6" s="28">
        <f t="shared" ref="E6:E10" si="0">D6-C6</f>
        <v>5000</v>
      </c>
      <c r="F6" s="29">
        <f t="shared" ref="F6:F10" si="1">(D6-C6)/C6</f>
        <v>0.1</v>
      </c>
      <c r="G6" t="s">
        <v>13</v>
      </c>
    </row>
    <row r="7" spans="2:7" ht="16.05" customHeight="1" x14ac:dyDescent="0.3">
      <c r="B7" s="2" t="s">
        <v>8</v>
      </c>
      <c r="C7" s="28">
        <v>150000</v>
      </c>
      <c r="D7" s="28">
        <v>140000</v>
      </c>
      <c r="E7" s="28">
        <f t="shared" si="0"/>
        <v>-10000</v>
      </c>
      <c r="F7" s="29">
        <f t="shared" si="1"/>
        <v>-6.6666666666666666E-2</v>
      </c>
      <c r="G7" t="s">
        <v>14</v>
      </c>
    </row>
    <row r="8" spans="2:7" ht="16.05" customHeight="1" x14ac:dyDescent="0.3">
      <c r="B8" s="2" t="s">
        <v>9</v>
      </c>
      <c r="C8" s="28">
        <v>20000</v>
      </c>
      <c r="D8" s="28">
        <v>40000</v>
      </c>
      <c r="E8" s="28">
        <f t="shared" si="0"/>
        <v>20000</v>
      </c>
      <c r="F8" s="29">
        <f t="shared" si="1"/>
        <v>1</v>
      </c>
      <c r="G8" t="s">
        <v>15</v>
      </c>
    </row>
    <row r="9" spans="2:7" ht="16.05" customHeight="1" x14ac:dyDescent="0.3">
      <c r="B9" s="2" t="s">
        <v>10</v>
      </c>
      <c r="C9" s="28">
        <v>10000</v>
      </c>
      <c r="D9" s="28">
        <v>10000</v>
      </c>
      <c r="E9" s="28">
        <f t="shared" si="0"/>
        <v>0</v>
      </c>
      <c r="F9" s="29">
        <f t="shared" si="1"/>
        <v>0</v>
      </c>
      <c r="G9" t="s">
        <v>16</v>
      </c>
    </row>
    <row r="10" spans="2:7" ht="16.05" customHeight="1" x14ac:dyDescent="0.3">
      <c r="B10" s="2" t="s">
        <v>11</v>
      </c>
      <c r="C10" s="28">
        <v>5000</v>
      </c>
      <c r="D10" s="28">
        <v>12000</v>
      </c>
      <c r="E10" s="28">
        <f t="shared" si="0"/>
        <v>7000</v>
      </c>
      <c r="F10" s="29">
        <f t="shared" si="1"/>
        <v>1.4</v>
      </c>
      <c r="G10" t="s">
        <v>17</v>
      </c>
    </row>
    <row r="11" spans="2:7" ht="16.05" customHeight="1" x14ac:dyDescent="0.3"/>
    <row r="17" spans="11:16" ht="16.05" customHeight="1" x14ac:dyDescent="0.3"/>
    <row r="22" spans="11:16" x14ac:dyDescent="0.3">
      <c r="K22" s="31" t="s">
        <v>122</v>
      </c>
      <c r="L22" s="31"/>
      <c r="M22" s="31"/>
      <c r="N22" s="31"/>
      <c r="O22" s="31"/>
      <c r="P22" s="31"/>
    </row>
    <row r="23" spans="11:16" x14ac:dyDescent="0.3">
      <c r="K23" s="31" t="s">
        <v>123</v>
      </c>
      <c r="L23" s="31"/>
      <c r="M23" s="31"/>
      <c r="N23" s="31"/>
      <c r="O23" s="31"/>
      <c r="P23" s="31"/>
    </row>
  </sheetData>
  <conditionalFormatting sqref="F5:F10">
    <cfRule type="cellIs" dxfId="5" priority="1" operator="lessThan">
      <formula>0</formula>
    </cfRule>
    <cfRule type="cellIs" dxfId="4" priority="2" operator="greaterThan">
      <formula>0.62</formula>
    </cfRule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2117-191A-4AA2-B0E3-DB0565B06601}">
  <sheetPr codeName="Sheet2"/>
  <dimension ref="B2:U75"/>
  <sheetViews>
    <sheetView showGridLines="0" zoomScale="79" zoomScaleNormal="79" workbookViewId="0">
      <selection activeCell="P29" sqref="P29:U32"/>
    </sheetView>
  </sheetViews>
  <sheetFormatPr defaultRowHeight="14.4" x14ac:dyDescent="0.3"/>
  <cols>
    <col min="1" max="1" width="2.77734375" customWidth="1"/>
    <col min="2" max="16" width="14.77734375" customWidth="1"/>
  </cols>
  <sheetData>
    <row r="2" spans="2:17" x14ac:dyDescent="0.3">
      <c r="B2" s="3"/>
      <c r="C2" s="4" t="s">
        <v>18</v>
      </c>
      <c r="D2" s="4"/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3"/>
    </row>
    <row r="3" spans="2:17" x14ac:dyDescent="0.3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x14ac:dyDescent="0.3">
      <c r="B4" s="2" t="s">
        <v>33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3">
      <c r="B5" s="3"/>
      <c r="C5" s="3" t="s">
        <v>31</v>
      </c>
      <c r="D5" s="3"/>
      <c r="E5" s="3">
        <v>0</v>
      </c>
      <c r="F5" s="3">
        <v>0</v>
      </c>
      <c r="G5" s="3">
        <v>0</v>
      </c>
      <c r="H5" s="8">
        <v>30000</v>
      </c>
      <c r="I5" s="8">
        <v>30000</v>
      </c>
      <c r="J5" s="8">
        <v>30000</v>
      </c>
      <c r="K5" s="8">
        <v>30000</v>
      </c>
      <c r="L5" s="8">
        <v>30000</v>
      </c>
      <c r="M5" s="8">
        <v>30000</v>
      </c>
      <c r="N5" s="8">
        <v>30000</v>
      </c>
      <c r="O5" s="8">
        <v>30000</v>
      </c>
      <c r="P5" s="8">
        <v>30000</v>
      </c>
      <c r="Q5" s="7"/>
    </row>
    <row r="6" spans="2:17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x14ac:dyDescent="0.3">
      <c r="B7" s="2" t="s">
        <v>32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x14ac:dyDescent="0.3">
      <c r="B8" s="3"/>
      <c r="C8" s="3" t="s">
        <v>34</v>
      </c>
      <c r="D8" s="3"/>
      <c r="E8" s="3">
        <v>5000</v>
      </c>
      <c r="F8" s="3">
        <f>E8</f>
        <v>5000</v>
      </c>
      <c r="G8" s="3">
        <f t="shared" ref="G8:P8" si="0">F8</f>
        <v>5000</v>
      </c>
      <c r="H8" s="3">
        <f t="shared" si="0"/>
        <v>5000</v>
      </c>
      <c r="I8" s="3">
        <f t="shared" si="0"/>
        <v>5000</v>
      </c>
      <c r="J8" s="3">
        <f t="shared" si="0"/>
        <v>5000</v>
      </c>
      <c r="K8" s="3">
        <f t="shared" si="0"/>
        <v>5000</v>
      </c>
      <c r="L8" s="3">
        <f t="shared" si="0"/>
        <v>5000</v>
      </c>
      <c r="M8" s="3">
        <f t="shared" si="0"/>
        <v>5000</v>
      </c>
      <c r="N8" s="3">
        <f t="shared" si="0"/>
        <v>5000</v>
      </c>
      <c r="O8" s="3">
        <f t="shared" si="0"/>
        <v>5000</v>
      </c>
      <c r="P8" s="3">
        <f t="shared" si="0"/>
        <v>5000</v>
      </c>
      <c r="Q8" s="3"/>
    </row>
    <row r="9" spans="2:17" x14ac:dyDescent="0.3">
      <c r="B9" s="3"/>
      <c r="C9" s="3" t="s">
        <v>35</v>
      </c>
      <c r="D9" s="3"/>
      <c r="E9" s="3">
        <f>E5*0.1</f>
        <v>0</v>
      </c>
      <c r="F9" s="3">
        <f t="shared" ref="F9:G9" si="1">F5*0.1</f>
        <v>0</v>
      </c>
      <c r="G9" s="3">
        <f t="shared" si="1"/>
        <v>0</v>
      </c>
      <c r="H9" s="3">
        <f>H5*0.1</f>
        <v>3000</v>
      </c>
      <c r="I9" s="3">
        <f t="shared" ref="I9:P9" si="2">I5*0.1</f>
        <v>3000</v>
      </c>
      <c r="J9" s="3">
        <f t="shared" si="2"/>
        <v>3000</v>
      </c>
      <c r="K9" s="3">
        <f t="shared" si="2"/>
        <v>3000</v>
      </c>
      <c r="L9" s="3">
        <f t="shared" si="2"/>
        <v>3000</v>
      </c>
      <c r="M9" s="3">
        <f t="shared" si="2"/>
        <v>3000</v>
      </c>
      <c r="N9" s="3">
        <f t="shared" si="2"/>
        <v>3000</v>
      </c>
      <c r="O9" s="3">
        <f t="shared" si="2"/>
        <v>3000</v>
      </c>
      <c r="P9" s="3">
        <f t="shared" si="2"/>
        <v>3000</v>
      </c>
      <c r="Q9" s="3"/>
    </row>
    <row r="10" spans="2:17" x14ac:dyDescent="0.3">
      <c r="B10" s="3"/>
      <c r="C10" s="3" t="s">
        <v>36</v>
      </c>
      <c r="D10" s="3"/>
      <c r="E10" s="3">
        <v>12000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/>
    </row>
    <row r="11" spans="2:17" x14ac:dyDescent="0.3">
      <c r="B11" s="3"/>
      <c r="C11" s="3" t="s">
        <v>37</v>
      </c>
      <c r="D11" s="3"/>
      <c r="E11" s="3">
        <f>SUM(E8:E10)</f>
        <v>17000</v>
      </c>
      <c r="F11" s="3">
        <f t="shared" ref="F11:P11" si="3">SUM(F8:F10)</f>
        <v>5000</v>
      </c>
      <c r="G11" s="3">
        <f t="shared" si="3"/>
        <v>5000</v>
      </c>
      <c r="H11" s="3">
        <f t="shared" si="3"/>
        <v>8000</v>
      </c>
      <c r="I11" s="3">
        <f t="shared" si="3"/>
        <v>8000</v>
      </c>
      <c r="J11" s="3">
        <f t="shared" si="3"/>
        <v>8000</v>
      </c>
      <c r="K11" s="3">
        <f t="shared" si="3"/>
        <v>8000</v>
      </c>
      <c r="L11" s="3">
        <f t="shared" si="3"/>
        <v>8000</v>
      </c>
      <c r="M11" s="3">
        <f t="shared" si="3"/>
        <v>8000</v>
      </c>
      <c r="N11" s="3">
        <f t="shared" si="3"/>
        <v>8000</v>
      </c>
      <c r="O11" s="3">
        <f t="shared" si="3"/>
        <v>8000</v>
      </c>
      <c r="P11" s="3">
        <f t="shared" si="3"/>
        <v>8000</v>
      </c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2" t="s">
        <v>38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12" t="s">
        <v>39</v>
      </c>
      <c r="D14" s="12"/>
      <c r="E14" s="12">
        <f>E5-E11</f>
        <v>-17000</v>
      </c>
      <c r="F14" s="12">
        <f t="shared" ref="F14:P14" si="4">F5-F11</f>
        <v>-5000</v>
      </c>
      <c r="G14" s="12">
        <f t="shared" si="4"/>
        <v>-5000</v>
      </c>
      <c r="H14" s="12">
        <f t="shared" si="4"/>
        <v>22000</v>
      </c>
      <c r="I14" s="12">
        <f t="shared" si="4"/>
        <v>22000</v>
      </c>
      <c r="J14" s="12">
        <f t="shared" si="4"/>
        <v>22000</v>
      </c>
      <c r="K14" s="12">
        <f t="shared" si="4"/>
        <v>22000</v>
      </c>
      <c r="L14" s="12">
        <f t="shared" si="4"/>
        <v>22000</v>
      </c>
      <c r="M14" s="12">
        <f t="shared" si="4"/>
        <v>22000</v>
      </c>
      <c r="N14" s="12">
        <f t="shared" si="4"/>
        <v>22000</v>
      </c>
      <c r="O14" s="12">
        <f t="shared" si="4"/>
        <v>22000</v>
      </c>
      <c r="P14" s="12">
        <f t="shared" si="4"/>
        <v>22000</v>
      </c>
      <c r="Q14" s="3"/>
    </row>
    <row r="15" spans="2:17" ht="15" thickBot="1" x14ac:dyDescent="0.35">
      <c r="B15" s="3"/>
      <c r="C15" s="27" t="s">
        <v>40</v>
      </c>
      <c r="D15" s="27"/>
      <c r="E15" s="27">
        <f>E14</f>
        <v>-17000</v>
      </c>
      <c r="F15" s="27">
        <f>E15+F14</f>
        <v>-22000</v>
      </c>
      <c r="G15" s="27">
        <f t="shared" ref="G15:P15" si="5">F15+G14</f>
        <v>-27000</v>
      </c>
      <c r="H15" s="27">
        <f t="shared" si="5"/>
        <v>-5000</v>
      </c>
      <c r="I15" s="27">
        <f t="shared" si="5"/>
        <v>17000</v>
      </c>
      <c r="J15" s="27">
        <f t="shared" si="5"/>
        <v>39000</v>
      </c>
      <c r="K15" s="27">
        <f t="shared" si="5"/>
        <v>61000</v>
      </c>
      <c r="L15" s="27">
        <f t="shared" si="5"/>
        <v>83000</v>
      </c>
      <c r="M15" s="27">
        <f t="shared" si="5"/>
        <v>105000</v>
      </c>
      <c r="N15" s="27">
        <f t="shared" si="5"/>
        <v>127000</v>
      </c>
      <c r="O15" s="27">
        <f t="shared" si="5"/>
        <v>149000</v>
      </c>
      <c r="P15" s="27">
        <f t="shared" si="5"/>
        <v>171000</v>
      </c>
      <c r="Q15" s="3"/>
    </row>
    <row r="16" spans="2:17" ht="15" thickTop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2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2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2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21" x14ac:dyDescent="0.3">
      <c r="B20" s="2" t="s">
        <v>41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2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21" x14ac:dyDescent="0.3">
      <c r="B22" s="3" t="s">
        <v>34</v>
      </c>
      <c r="C22" s="5" t="s">
        <v>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21" x14ac:dyDescent="0.3">
      <c r="B23" s="3" t="s">
        <v>35</v>
      </c>
      <c r="C23" s="6">
        <v>0.1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21" x14ac:dyDescent="0.3">
      <c r="B24" s="3" t="s">
        <v>42</v>
      </c>
      <c r="C24" s="5" t="s">
        <v>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21" x14ac:dyDescent="0.3">
      <c r="B25" s="3" t="s">
        <v>43</v>
      </c>
      <c r="C25" s="5" t="s">
        <v>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21" x14ac:dyDescent="0.3">
      <c r="B26" s="3" t="s">
        <v>36</v>
      </c>
      <c r="C26" s="5" t="s">
        <v>47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2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2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2:2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1" t="s">
        <v>122</v>
      </c>
      <c r="Q30" s="31"/>
      <c r="R30" s="31"/>
      <c r="S30" s="31"/>
      <c r="T30" s="31"/>
      <c r="U30" s="31"/>
    </row>
    <row r="31" spans="2:2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1" t="s">
        <v>123</v>
      </c>
      <c r="Q31" s="31"/>
      <c r="R31" s="31"/>
      <c r="S31" s="31"/>
      <c r="T31" s="31"/>
      <c r="U31" s="31"/>
    </row>
    <row r="32" spans="2:2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2:17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2:17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2:17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2:17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2:17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2:17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2:17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2:17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2:17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2:17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2:17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2:17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2:17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2:17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2:17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2:17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2:17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2:17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2:17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2:17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2:17" x14ac:dyDescent="0.3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2:17" x14ac:dyDescent="0.3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2:17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2:17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2:17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2:17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2:17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2:17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2:17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2:17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2:17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2:17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2:17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2:17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2:17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2:17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2:17" x14ac:dyDescent="0.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2:17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2:17" x14ac:dyDescent="0.3">
      <c r="Q75" s="3"/>
    </row>
  </sheetData>
  <phoneticPr fontId="5" type="noConversion"/>
  <conditionalFormatting sqref="E15:P1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85B3-1A87-4055-A0DF-FE0F16C1D0BE}">
  <sheetPr codeName="Sheet3"/>
  <dimension ref="A3:X105"/>
  <sheetViews>
    <sheetView showGridLines="0" topLeftCell="A34" zoomScale="63" zoomScaleNormal="63" workbookViewId="0">
      <selection activeCell="Q96" sqref="Q96"/>
    </sheetView>
  </sheetViews>
  <sheetFormatPr defaultRowHeight="14.4" x14ac:dyDescent="0.3"/>
  <cols>
    <col min="1" max="1" width="2.77734375" customWidth="1"/>
    <col min="2" max="2" width="56" bestFit="1" customWidth="1"/>
    <col min="4" max="15" width="15.77734375" customWidth="1"/>
  </cols>
  <sheetData>
    <row r="3" spans="2:15" x14ac:dyDescent="0.3">
      <c r="B3" s="2" t="s">
        <v>65</v>
      </c>
    </row>
    <row r="5" spans="2:15" x14ac:dyDescent="0.3">
      <c r="B5" s="1" t="s">
        <v>18</v>
      </c>
      <c r="C5" s="1"/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</row>
    <row r="6" spans="2:15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2:15" x14ac:dyDescent="0.3">
      <c r="B7" s="2" t="s">
        <v>60</v>
      </c>
      <c r="C7" s="3"/>
      <c r="D7" s="8">
        <v>500</v>
      </c>
      <c r="E7" s="8">
        <f>D12</f>
        <v>525</v>
      </c>
      <c r="F7" s="8">
        <f t="shared" ref="F7:O7" si="0">E12</f>
        <v>606.25</v>
      </c>
      <c r="G7" s="8">
        <f t="shared" si="0"/>
        <v>696.5625</v>
      </c>
      <c r="H7" s="8">
        <f t="shared" si="0"/>
        <v>796.390625</v>
      </c>
      <c r="I7" s="8">
        <f t="shared" si="0"/>
        <v>906.21015624999995</v>
      </c>
      <c r="J7" s="8">
        <f t="shared" si="0"/>
        <v>1026.5206640624999</v>
      </c>
      <c r="K7" s="8">
        <f t="shared" si="0"/>
        <v>1157.8466972656249</v>
      </c>
      <c r="L7" s="8">
        <f t="shared" si="0"/>
        <v>1300.7390321289063</v>
      </c>
      <c r="M7" s="8">
        <f t="shared" si="0"/>
        <v>1455.7759837353515</v>
      </c>
      <c r="N7" s="8">
        <f t="shared" si="0"/>
        <v>1623.5647829221191</v>
      </c>
      <c r="O7" s="8">
        <f t="shared" si="0"/>
        <v>1804.7430220682249</v>
      </c>
    </row>
    <row r="8" spans="2:15" x14ac:dyDescent="0.3">
      <c r="B8" s="3"/>
      <c r="C8" s="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2:15" x14ac:dyDescent="0.3">
      <c r="B9" s="3" t="s">
        <v>61</v>
      </c>
      <c r="C9" s="3"/>
      <c r="D9" s="8">
        <v>50</v>
      </c>
      <c r="E9" s="8">
        <v>55</v>
      </c>
      <c r="F9" s="8">
        <v>60</v>
      </c>
      <c r="G9" s="8">
        <v>65</v>
      </c>
      <c r="H9" s="8">
        <v>70</v>
      </c>
      <c r="I9" s="8">
        <v>75</v>
      </c>
      <c r="J9" s="8">
        <v>80</v>
      </c>
      <c r="K9" s="8">
        <v>85</v>
      </c>
      <c r="L9" s="8">
        <v>90</v>
      </c>
      <c r="M9" s="8">
        <v>95</v>
      </c>
      <c r="N9" s="8">
        <v>100</v>
      </c>
      <c r="O9" s="8">
        <v>105</v>
      </c>
    </row>
    <row r="10" spans="2:15" x14ac:dyDescent="0.3">
      <c r="B10" s="3" t="s">
        <v>62</v>
      </c>
      <c r="C10" s="3"/>
      <c r="D10" s="8">
        <f>D7*5%</f>
        <v>25</v>
      </c>
      <c r="E10" s="8">
        <f>E7*5%</f>
        <v>26.25</v>
      </c>
      <c r="F10" s="8">
        <f>F7*5%</f>
        <v>30.3125</v>
      </c>
      <c r="G10" s="8">
        <f t="shared" ref="G10:O10" si="1">G7*5%</f>
        <v>34.828125</v>
      </c>
      <c r="H10" s="8">
        <f t="shared" si="1"/>
        <v>39.819531250000004</v>
      </c>
      <c r="I10" s="8">
        <f t="shared" si="1"/>
        <v>45.310507812499999</v>
      </c>
      <c r="J10" s="8">
        <f t="shared" si="1"/>
        <v>51.326033203125</v>
      </c>
      <c r="K10" s="8">
        <f t="shared" si="1"/>
        <v>57.892334863281249</v>
      </c>
      <c r="L10" s="8">
        <f t="shared" si="1"/>
        <v>65.036951606445314</v>
      </c>
      <c r="M10" s="8">
        <f t="shared" si="1"/>
        <v>72.788799186767577</v>
      </c>
      <c r="N10" s="8">
        <f t="shared" si="1"/>
        <v>81.178239146105966</v>
      </c>
      <c r="O10" s="8">
        <f t="shared" si="1"/>
        <v>90.23715110341125</v>
      </c>
    </row>
    <row r="11" spans="2:15" x14ac:dyDescent="0.3">
      <c r="B11" s="3"/>
      <c r="C11" s="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2:15" x14ac:dyDescent="0.3">
      <c r="B12" s="12" t="s">
        <v>63</v>
      </c>
      <c r="C12" s="12"/>
      <c r="D12" s="14">
        <f>D7+D9-D10</f>
        <v>525</v>
      </c>
      <c r="E12" s="14">
        <f>SUM(E7:E10)</f>
        <v>606.25</v>
      </c>
      <c r="F12" s="14">
        <f t="shared" ref="F12:O12" si="2">SUM(F7:F10)</f>
        <v>696.5625</v>
      </c>
      <c r="G12" s="14">
        <f t="shared" si="2"/>
        <v>796.390625</v>
      </c>
      <c r="H12" s="14">
        <f t="shared" si="2"/>
        <v>906.21015624999995</v>
      </c>
      <c r="I12" s="14">
        <f t="shared" si="2"/>
        <v>1026.5206640624999</v>
      </c>
      <c r="J12" s="14">
        <f t="shared" si="2"/>
        <v>1157.8466972656249</v>
      </c>
      <c r="K12" s="14">
        <f t="shared" si="2"/>
        <v>1300.7390321289063</v>
      </c>
      <c r="L12" s="14">
        <f t="shared" si="2"/>
        <v>1455.7759837353515</v>
      </c>
      <c r="M12" s="14">
        <f t="shared" si="2"/>
        <v>1623.5647829221191</v>
      </c>
      <c r="N12" s="14">
        <f t="shared" si="2"/>
        <v>1804.7430220682249</v>
      </c>
      <c r="O12" s="14">
        <f t="shared" si="2"/>
        <v>1999.9801731716361</v>
      </c>
    </row>
    <row r="13" spans="2:15" x14ac:dyDescent="0.3">
      <c r="B13" s="3"/>
      <c r="C13" s="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2:15" x14ac:dyDescent="0.3">
      <c r="B14" s="12" t="s">
        <v>64</v>
      </c>
      <c r="C14" s="12"/>
      <c r="D14" s="18">
        <f>D12*50</f>
        <v>26250</v>
      </c>
      <c r="E14" s="18">
        <f>E12*50</f>
        <v>30312.5</v>
      </c>
      <c r="F14" s="18">
        <f t="shared" ref="F14:O14" si="3">F12*50</f>
        <v>34828.125</v>
      </c>
      <c r="G14" s="18">
        <f t="shared" si="3"/>
        <v>39819.53125</v>
      </c>
      <c r="H14" s="18">
        <f t="shared" si="3"/>
        <v>45310.5078125</v>
      </c>
      <c r="I14" s="18">
        <f t="shared" si="3"/>
        <v>51326.033203124993</v>
      </c>
      <c r="J14" s="18">
        <f t="shared" si="3"/>
        <v>57892.334863281249</v>
      </c>
      <c r="K14" s="18">
        <f t="shared" si="3"/>
        <v>65036.951606445313</v>
      </c>
      <c r="L14" s="18">
        <f t="shared" si="3"/>
        <v>72788.799186767574</v>
      </c>
      <c r="M14" s="18">
        <f t="shared" si="3"/>
        <v>81178.23914610596</v>
      </c>
      <c r="N14" s="18">
        <f t="shared" si="3"/>
        <v>90237.151103411248</v>
      </c>
      <c r="O14" s="18">
        <f t="shared" si="3"/>
        <v>99999.008658581806</v>
      </c>
    </row>
    <row r="15" spans="2:15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 x14ac:dyDescent="0.3">
      <c r="B17" s="2" t="s">
        <v>66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x14ac:dyDescent="0.3">
      <c r="B19" s="1" t="s">
        <v>18</v>
      </c>
      <c r="C19" s="1"/>
      <c r="D19" s="1" t="s">
        <v>48</v>
      </c>
      <c r="E19" s="1" t="s">
        <v>49</v>
      </c>
      <c r="F19" s="1" t="s">
        <v>50</v>
      </c>
      <c r="G19" s="1" t="s">
        <v>51</v>
      </c>
      <c r="H19" s="1" t="s">
        <v>52</v>
      </c>
      <c r="I19" s="1" t="s">
        <v>53</v>
      </c>
      <c r="J19" s="1" t="s">
        <v>54</v>
      </c>
      <c r="K19" s="1" t="s">
        <v>55</v>
      </c>
      <c r="L19" s="1" t="s">
        <v>56</v>
      </c>
      <c r="M19" s="1" t="s">
        <v>57</v>
      </c>
      <c r="N19" s="1" t="s">
        <v>58</v>
      </c>
      <c r="O19" s="1" t="s">
        <v>59</v>
      </c>
    </row>
    <row r="20" spans="2:15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x14ac:dyDescent="0.3">
      <c r="B21" s="2" t="s">
        <v>67</v>
      </c>
      <c r="C21" s="3"/>
      <c r="D21" s="8">
        <v>20</v>
      </c>
      <c r="E21" s="8">
        <f>D26</f>
        <v>21.8</v>
      </c>
      <c r="F21" s="8">
        <f>E26</f>
        <v>24.018000000000001</v>
      </c>
      <c r="G21" s="8">
        <f>F26</f>
        <v>26.258179999999999</v>
      </c>
      <c r="H21" s="8">
        <f>G26</f>
        <v>29.520761799999999</v>
      </c>
      <c r="I21" s="8">
        <f>H26</f>
        <v>32.815969418000002</v>
      </c>
      <c r="J21" s="8">
        <f t="shared" ref="J21:O21" si="4">I26</f>
        <v>36.144129112180003</v>
      </c>
      <c r="K21" s="8">
        <f t="shared" si="4"/>
        <v>40.505570403301803</v>
      </c>
      <c r="L21" s="8">
        <f t="shared" si="4"/>
        <v>44.910626107334821</v>
      </c>
      <c r="M21" s="8">
        <f t="shared" si="4"/>
        <v>49.359732368408167</v>
      </c>
      <c r="N21" s="8">
        <f t="shared" si="4"/>
        <v>54.853329692092252</v>
      </c>
      <c r="O21" s="8">
        <f t="shared" si="4"/>
        <v>60.401862989013175</v>
      </c>
    </row>
    <row r="22" spans="2:15" x14ac:dyDescent="0.3">
      <c r="B22" s="3"/>
      <c r="C22" s="3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2:15" x14ac:dyDescent="0.3">
      <c r="B23" s="3" t="s">
        <v>61</v>
      </c>
      <c r="C23" s="3"/>
      <c r="D23" s="8">
        <v>2</v>
      </c>
      <c r="E23" s="8">
        <v>2</v>
      </c>
      <c r="F23" s="8">
        <v>2</v>
      </c>
      <c r="G23" s="8">
        <v>3</v>
      </c>
      <c r="H23" s="8">
        <v>3</v>
      </c>
      <c r="I23" s="8">
        <v>3</v>
      </c>
      <c r="J23" s="8">
        <v>4</v>
      </c>
      <c r="K23" s="8">
        <v>4</v>
      </c>
      <c r="L23" s="8">
        <v>4</v>
      </c>
      <c r="M23" s="8">
        <v>5</v>
      </c>
      <c r="N23" s="8">
        <v>5</v>
      </c>
      <c r="O23" s="8">
        <v>5</v>
      </c>
    </row>
    <row r="24" spans="2:15" x14ac:dyDescent="0.3">
      <c r="B24" s="3" t="s">
        <v>62</v>
      </c>
      <c r="C24" s="3"/>
      <c r="D24" s="9">
        <f>D21*1%</f>
        <v>0.2</v>
      </c>
      <c r="E24" s="9">
        <f t="shared" ref="E24:I24" si="5">E21*1%</f>
        <v>0.218</v>
      </c>
      <c r="F24" s="9">
        <f t="shared" si="5"/>
        <v>0.24018</v>
      </c>
      <c r="G24" s="9">
        <f t="shared" si="5"/>
        <v>0.26258179999999998</v>
      </c>
      <c r="H24" s="9">
        <f t="shared" si="5"/>
        <v>0.295207618</v>
      </c>
      <c r="I24" s="9">
        <f t="shared" si="5"/>
        <v>0.32815969418000002</v>
      </c>
      <c r="J24" s="9">
        <f t="shared" ref="J24:O24" si="6">J21*1%</f>
        <v>0.36144129112180007</v>
      </c>
      <c r="K24" s="9">
        <f t="shared" si="6"/>
        <v>0.40505570403301805</v>
      </c>
      <c r="L24" s="9">
        <f t="shared" si="6"/>
        <v>0.44910626107334822</v>
      </c>
      <c r="M24" s="9">
        <f t="shared" si="6"/>
        <v>0.49359732368408166</v>
      </c>
      <c r="N24" s="9">
        <f t="shared" si="6"/>
        <v>0.54853329692092256</v>
      </c>
      <c r="O24" s="9">
        <f t="shared" si="6"/>
        <v>0.60401862989013178</v>
      </c>
    </row>
    <row r="25" spans="2:15" x14ac:dyDescent="0.3">
      <c r="B25" s="3"/>
      <c r="C25" s="3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2:15" x14ac:dyDescent="0.3">
      <c r="B26" s="12" t="s">
        <v>68</v>
      </c>
      <c r="C26" s="12"/>
      <c r="D26" s="14">
        <f>D21+D23-D24</f>
        <v>21.8</v>
      </c>
      <c r="E26" s="14">
        <f>SUM(E21:E25)</f>
        <v>24.018000000000001</v>
      </c>
      <c r="F26" s="14">
        <f>SUM(F21:F24)</f>
        <v>26.258179999999999</v>
      </c>
      <c r="G26" s="14">
        <f>SUM(G21:G24)</f>
        <v>29.520761799999999</v>
      </c>
      <c r="H26" s="14">
        <f>SUM(H21:H24)</f>
        <v>32.815969418000002</v>
      </c>
      <c r="I26" s="14">
        <f>SUM(I21:I24)</f>
        <v>36.144129112180003</v>
      </c>
      <c r="J26" s="14">
        <f t="shared" ref="J26:O26" si="7">SUM(J21:J24)</f>
        <v>40.505570403301803</v>
      </c>
      <c r="K26" s="14">
        <f t="shared" si="7"/>
        <v>44.910626107334821</v>
      </c>
      <c r="L26" s="14">
        <f t="shared" si="7"/>
        <v>49.359732368408167</v>
      </c>
      <c r="M26" s="14">
        <f t="shared" si="7"/>
        <v>54.853329692092252</v>
      </c>
      <c r="N26" s="14">
        <f t="shared" si="7"/>
        <v>60.401862989013175</v>
      </c>
      <c r="O26" s="14">
        <f t="shared" si="7"/>
        <v>66.005881618903317</v>
      </c>
    </row>
    <row r="27" spans="2:15" x14ac:dyDescent="0.3">
      <c r="B27" s="3"/>
      <c r="C27" s="3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2:15" x14ac:dyDescent="0.3">
      <c r="B28" s="12" t="s">
        <v>69</v>
      </c>
      <c r="C28" s="12"/>
      <c r="D28" s="17">
        <f t="shared" ref="D28:I28" si="8">D26*1000</f>
        <v>21800</v>
      </c>
      <c r="E28" s="17">
        <f t="shared" si="8"/>
        <v>24018</v>
      </c>
      <c r="F28" s="17">
        <f t="shared" si="8"/>
        <v>26258.18</v>
      </c>
      <c r="G28" s="17">
        <f t="shared" si="8"/>
        <v>29520.7618</v>
      </c>
      <c r="H28" s="17">
        <f t="shared" si="8"/>
        <v>32815.969418000001</v>
      </c>
      <c r="I28" s="17">
        <f t="shared" si="8"/>
        <v>36144.129112180002</v>
      </c>
      <c r="J28" s="17">
        <f t="shared" ref="J28:O28" si="9">J26*1000</f>
        <v>40505.570403301805</v>
      </c>
      <c r="K28" s="17">
        <f t="shared" si="9"/>
        <v>44910.626107334821</v>
      </c>
      <c r="L28" s="17">
        <f t="shared" si="9"/>
        <v>49359.732368408164</v>
      </c>
      <c r="M28" s="17">
        <f t="shared" si="9"/>
        <v>54853.329692092251</v>
      </c>
      <c r="N28" s="17">
        <f t="shared" si="9"/>
        <v>60401.862989013178</v>
      </c>
      <c r="O28" s="17">
        <f t="shared" si="9"/>
        <v>66005.88161890331</v>
      </c>
    </row>
    <row r="29" spans="2:15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2:15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2:15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2:15" x14ac:dyDescent="0.3">
      <c r="B32" s="2" t="s">
        <v>41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2:15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2:15" x14ac:dyDescent="0.3">
      <c r="B34" s="3" t="s">
        <v>70</v>
      </c>
      <c r="C34" s="5" t="s">
        <v>74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2:15" x14ac:dyDescent="0.3">
      <c r="B35" s="3" t="s">
        <v>71</v>
      </c>
      <c r="C35" s="5" t="s">
        <v>75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2:15" x14ac:dyDescent="0.3">
      <c r="B36" s="3" t="s">
        <v>72</v>
      </c>
      <c r="C36" s="6">
        <v>0.05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2:15" x14ac:dyDescent="0.3">
      <c r="B37" s="3" t="s">
        <v>73</v>
      </c>
      <c r="C37" s="6">
        <v>0.01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2:15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2:15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3">
      <c r="B41" s="2" t="s">
        <v>76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2:15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2:15" x14ac:dyDescent="0.3">
      <c r="B43" s="1" t="s">
        <v>77</v>
      </c>
      <c r="C43" s="1"/>
      <c r="D43" s="1" t="s">
        <v>48</v>
      </c>
      <c r="E43" s="1" t="s">
        <v>49</v>
      </c>
      <c r="F43" s="1" t="s">
        <v>50</v>
      </c>
      <c r="G43" s="1" t="s">
        <v>51</v>
      </c>
      <c r="H43" s="1" t="s">
        <v>52</v>
      </c>
      <c r="I43" s="1" t="s">
        <v>53</v>
      </c>
      <c r="J43" s="1" t="s">
        <v>54</v>
      </c>
      <c r="K43" s="1" t="s">
        <v>55</v>
      </c>
      <c r="L43" s="1" t="s">
        <v>56</v>
      </c>
      <c r="M43" s="1" t="s">
        <v>57</v>
      </c>
      <c r="N43" s="1" t="s">
        <v>58</v>
      </c>
      <c r="O43" s="1" t="s">
        <v>59</v>
      </c>
    </row>
    <row r="44" spans="2:15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2:15" x14ac:dyDescent="0.3">
      <c r="B45" t="s">
        <v>78</v>
      </c>
      <c r="C45" s="3"/>
      <c r="D45" s="3">
        <v>5</v>
      </c>
      <c r="E45" s="3">
        <v>5</v>
      </c>
      <c r="F45" s="3">
        <v>6</v>
      </c>
      <c r="G45" s="3">
        <v>6</v>
      </c>
      <c r="H45" s="3">
        <v>7</v>
      </c>
      <c r="I45" s="3">
        <v>7</v>
      </c>
      <c r="J45" s="3">
        <v>8</v>
      </c>
      <c r="K45" s="3">
        <v>8</v>
      </c>
      <c r="L45" s="3">
        <v>9</v>
      </c>
      <c r="M45" s="3">
        <v>9</v>
      </c>
      <c r="N45" s="3">
        <v>10</v>
      </c>
      <c r="O45" s="3">
        <v>10</v>
      </c>
    </row>
    <row r="46" spans="2:15" x14ac:dyDescent="0.3">
      <c r="B46" s="16" t="s">
        <v>81</v>
      </c>
      <c r="C46" s="12"/>
      <c r="D46" s="17">
        <f>D45*10000</f>
        <v>50000</v>
      </c>
      <c r="E46" s="17">
        <f t="shared" ref="E46:O46" si="10">E45*10000</f>
        <v>50000</v>
      </c>
      <c r="F46" s="17">
        <f t="shared" si="10"/>
        <v>60000</v>
      </c>
      <c r="G46" s="17">
        <f t="shared" si="10"/>
        <v>60000</v>
      </c>
      <c r="H46" s="17">
        <f t="shared" si="10"/>
        <v>70000</v>
      </c>
      <c r="I46" s="17">
        <f t="shared" si="10"/>
        <v>70000</v>
      </c>
      <c r="J46" s="17">
        <f t="shared" si="10"/>
        <v>80000</v>
      </c>
      <c r="K46" s="17">
        <f t="shared" si="10"/>
        <v>80000</v>
      </c>
      <c r="L46" s="17">
        <f t="shared" si="10"/>
        <v>90000</v>
      </c>
      <c r="M46" s="17">
        <f t="shared" si="10"/>
        <v>90000</v>
      </c>
      <c r="N46" s="17">
        <f t="shared" si="10"/>
        <v>100000</v>
      </c>
      <c r="O46" s="17">
        <f t="shared" si="10"/>
        <v>100000</v>
      </c>
    </row>
    <row r="47" spans="2:15" x14ac:dyDescent="0.3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2:15" x14ac:dyDescent="0.3">
      <c r="B48" t="s">
        <v>79</v>
      </c>
      <c r="C48" s="3"/>
      <c r="D48" s="3">
        <v>2</v>
      </c>
      <c r="E48" s="3">
        <v>2</v>
      </c>
      <c r="F48" s="3">
        <v>2</v>
      </c>
      <c r="G48" s="3">
        <v>3</v>
      </c>
      <c r="H48" s="3">
        <v>3</v>
      </c>
      <c r="I48" s="3">
        <v>3</v>
      </c>
      <c r="J48" s="3">
        <v>4</v>
      </c>
      <c r="K48" s="3">
        <v>4</v>
      </c>
      <c r="L48" s="3">
        <v>4</v>
      </c>
      <c r="M48" s="3">
        <v>5</v>
      </c>
      <c r="N48" s="3">
        <v>5</v>
      </c>
      <c r="O48" s="3">
        <v>5</v>
      </c>
    </row>
    <row r="49" spans="2:15" x14ac:dyDescent="0.3">
      <c r="B49" s="16" t="s">
        <v>82</v>
      </c>
      <c r="C49" s="12"/>
      <c r="D49" s="17">
        <f>D48*6000</f>
        <v>12000</v>
      </c>
      <c r="E49" s="17">
        <f t="shared" ref="E49:O49" si="11">E48*6000</f>
        <v>12000</v>
      </c>
      <c r="F49" s="17">
        <f t="shared" si="11"/>
        <v>12000</v>
      </c>
      <c r="G49" s="17">
        <f t="shared" si="11"/>
        <v>18000</v>
      </c>
      <c r="H49" s="17">
        <f t="shared" si="11"/>
        <v>18000</v>
      </c>
      <c r="I49" s="17">
        <f t="shared" si="11"/>
        <v>18000</v>
      </c>
      <c r="J49" s="17">
        <f t="shared" si="11"/>
        <v>24000</v>
      </c>
      <c r="K49" s="17">
        <f t="shared" si="11"/>
        <v>24000</v>
      </c>
      <c r="L49" s="17">
        <f t="shared" si="11"/>
        <v>24000</v>
      </c>
      <c r="M49" s="17">
        <f t="shared" si="11"/>
        <v>30000</v>
      </c>
      <c r="N49" s="17">
        <f t="shared" si="11"/>
        <v>30000</v>
      </c>
      <c r="O49" s="17">
        <f t="shared" si="11"/>
        <v>30000</v>
      </c>
    </row>
    <row r="50" spans="2:15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2:15" x14ac:dyDescent="0.3">
      <c r="B51" t="s">
        <v>80</v>
      </c>
      <c r="C51" s="3"/>
      <c r="D51" s="3">
        <v>2</v>
      </c>
      <c r="E51" s="3">
        <v>2</v>
      </c>
      <c r="F51" s="3">
        <v>2</v>
      </c>
      <c r="G51" s="3">
        <v>2</v>
      </c>
      <c r="H51" s="3">
        <v>2</v>
      </c>
      <c r="I51" s="3">
        <v>2</v>
      </c>
      <c r="J51" s="3">
        <v>2</v>
      </c>
      <c r="K51" s="3">
        <v>2</v>
      </c>
      <c r="L51" s="3">
        <v>2</v>
      </c>
      <c r="M51" s="3">
        <v>2</v>
      </c>
      <c r="N51" s="3">
        <v>2</v>
      </c>
      <c r="O51" s="3">
        <v>2</v>
      </c>
    </row>
    <row r="52" spans="2:15" x14ac:dyDescent="0.3">
      <c r="B52" s="16" t="s">
        <v>83</v>
      </c>
      <c r="C52" s="12"/>
      <c r="D52" s="17">
        <f>D51*8000</f>
        <v>16000</v>
      </c>
      <c r="E52" s="17">
        <f t="shared" ref="E52:O52" si="12">E51*8000</f>
        <v>16000</v>
      </c>
      <c r="F52" s="17">
        <f t="shared" si="12"/>
        <v>16000</v>
      </c>
      <c r="G52" s="17">
        <f t="shared" si="12"/>
        <v>16000</v>
      </c>
      <c r="H52" s="17">
        <f t="shared" si="12"/>
        <v>16000</v>
      </c>
      <c r="I52" s="17">
        <f t="shared" si="12"/>
        <v>16000</v>
      </c>
      <c r="J52" s="17">
        <f t="shared" si="12"/>
        <v>16000</v>
      </c>
      <c r="K52" s="17">
        <f t="shared" si="12"/>
        <v>16000</v>
      </c>
      <c r="L52" s="17">
        <f t="shared" si="12"/>
        <v>16000</v>
      </c>
      <c r="M52" s="17">
        <f t="shared" si="12"/>
        <v>16000</v>
      </c>
      <c r="N52" s="17">
        <f t="shared" si="12"/>
        <v>16000</v>
      </c>
      <c r="O52" s="17">
        <f t="shared" si="12"/>
        <v>16000</v>
      </c>
    </row>
    <row r="53" spans="2:15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2:15" x14ac:dyDescent="0.3">
      <c r="B54" s="16" t="s">
        <v>84</v>
      </c>
      <c r="C54" s="12"/>
      <c r="D54" s="17" cm="1">
        <f t="array" ref="D54:O54">(D12:O12+D26:O26)*5</f>
        <v>2734</v>
      </c>
      <c r="E54" s="17">
        <v>3151.34</v>
      </c>
      <c r="F54" s="17">
        <v>3614.1034</v>
      </c>
      <c r="G54" s="17">
        <v>4129.5569340000002</v>
      </c>
      <c r="H54" s="17">
        <v>4695.1306283399999</v>
      </c>
      <c r="I54" s="17">
        <v>5313.3239658734001</v>
      </c>
      <c r="J54" s="17">
        <v>5991.7613383446333</v>
      </c>
      <c r="K54" s="17">
        <v>6728.2482911812058</v>
      </c>
      <c r="L54" s="17">
        <v>7525.6785805187983</v>
      </c>
      <c r="M54" s="17">
        <v>8392.0905630710567</v>
      </c>
      <c r="N54" s="17">
        <v>9325.724425286191</v>
      </c>
      <c r="O54" s="17">
        <v>10329.930273952697</v>
      </c>
    </row>
    <row r="55" spans="2:15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x14ac:dyDescent="0.3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2:15" x14ac:dyDescent="0.3">
      <c r="B57" s="2" t="s">
        <v>41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2:15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2:15" x14ac:dyDescent="0.3">
      <c r="B59" t="s">
        <v>85</v>
      </c>
      <c r="C59" s="3"/>
      <c r="D59" s="11" t="s">
        <v>88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2:15" x14ac:dyDescent="0.3">
      <c r="B60" t="s">
        <v>86</v>
      </c>
      <c r="C60" s="3"/>
      <c r="D60" s="11" t="s">
        <v>89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2:15" x14ac:dyDescent="0.3">
      <c r="B61" t="s">
        <v>87</v>
      </c>
      <c r="C61" s="3"/>
      <c r="D61" s="11" t="s">
        <v>90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2:15" x14ac:dyDescent="0.3">
      <c r="B62" t="s">
        <v>83</v>
      </c>
      <c r="C62" s="3"/>
      <c r="D62" s="5" t="s">
        <v>91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2:15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2:15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3">
      <c r="A65">
        <v>1</v>
      </c>
      <c r="B65" t="s">
        <v>92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">
      <c r="B66" s="10" t="s">
        <v>93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3">
      <c r="B67" s="10" t="s">
        <v>94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">
      <c r="B68" s="12" t="s">
        <v>95</v>
      </c>
      <c r="C68" s="13"/>
      <c r="D68" s="14" cm="1">
        <f t="array" ref="D68:O68">(D14:O14+D28:O28)*3%</f>
        <v>1441.5</v>
      </c>
      <c r="E68" s="14">
        <v>1629.915</v>
      </c>
      <c r="F68" s="14">
        <v>1832.58915</v>
      </c>
      <c r="G68" s="14">
        <v>2080.2087915000002</v>
      </c>
      <c r="H68" s="14">
        <v>2343.7943169149999</v>
      </c>
      <c r="I68" s="14">
        <v>2624.10486945915</v>
      </c>
      <c r="J68" s="14">
        <v>2951.9371579974913</v>
      </c>
      <c r="K68" s="14">
        <v>3298.4273314134039</v>
      </c>
      <c r="L68" s="14">
        <v>3664.4559466552719</v>
      </c>
      <c r="M68" s="14">
        <v>4080.947065145946</v>
      </c>
      <c r="N68" s="14">
        <v>4519.1704227727323</v>
      </c>
      <c r="O68" s="14">
        <v>4980.1467083245534</v>
      </c>
    </row>
    <row r="69" spans="1:15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">
      <c r="A70">
        <v>2</v>
      </c>
      <c r="B70" t="s">
        <v>96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">
      <c r="B71" s="10" t="s">
        <v>97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">
      <c r="B72" s="10" t="s">
        <v>98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">
      <c r="B73" s="12" t="s">
        <v>95</v>
      </c>
      <c r="C73" s="13"/>
      <c r="D73" s="14" cm="1">
        <f t="array" ref="D73:O73">D26:O26*10</f>
        <v>218</v>
      </c>
      <c r="E73" s="14">
        <v>240.18</v>
      </c>
      <c r="F73" s="14">
        <v>262.58179999999999</v>
      </c>
      <c r="G73" s="14">
        <v>295.20761799999997</v>
      </c>
      <c r="H73" s="14">
        <v>328.15969418000003</v>
      </c>
      <c r="I73" s="14">
        <v>361.44129112180002</v>
      </c>
      <c r="J73" s="14">
        <v>405.05570403301806</v>
      </c>
      <c r="K73" s="14">
        <v>449.10626107334821</v>
      </c>
      <c r="L73" s="14">
        <v>493.59732368408169</v>
      </c>
      <c r="M73" s="14">
        <v>548.53329692092257</v>
      </c>
      <c r="N73" s="14">
        <v>604.01862989013171</v>
      </c>
      <c r="O73" s="14">
        <v>660.05881618903322</v>
      </c>
    </row>
    <row r="74" spans="1:15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">
      <c r="A75">
        <v>3</v>
      </c>
      <c r="B75" t="s">
        <v>99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">
      <c r="B76" s="10" t="s">
        <v>100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">
      <c r="B77" s="10" t="s">
        <v>101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">
      <c r="B78" s="12" t="s">
        <v>95</v>
      </c>
      <c r="C78" s="13"/>
      <c r="D78" s="12" cm="1">
        <f t="array" ref="D78:O78">(D45:O45+D48:O48+D51:O51)*2000</f>
        <v>18000</v>
      </c>
      <c r="E78" s="12">
        <v>18000</v>
      </c>
      <c r="F78" s="12">
        <v>20000</v>
      </c>
      <c r="G78" s="12">
        <v>22000</v>
      </c>
      <c r="H78" s="12">
        <v>24000</v>
      </c>
      <c r="I78" s="12">
        <v>24000</v>
      </c>
      <c r="J78" s="12">
        <v>28000</v>
      </c>
      <c r="K78" s="12">
        <v>28000</v>
      </c>
      <c r="L78" s="12">
        <v>30000</v>
      </c>
      <c r="M78" s="12">
        <v>32000</v>
      </c>
      <c r="N78" s="12">
        <v>34000</v>
      </c>
      <c r="O78" s="12">
        <v>34000</v>
      </c>
    </row>
    <row r="79" spans="1:15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">
      <c r="A80">
        <v>4</v>
      </c>
      <c r="B80" t="s">
        <v>102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2:15" x14ac:dyDescent="0.3">
      <c r="B81" s="10" t="s">
        <v>103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x14ac:dyDescent="0.3">
      <c r="B82" s="12" t="s">
        <v>95</v>
      </c>
      <c r="C82" s="13"/>
      <c r="D82" s="12">
        <v>15000</v>
      </c>
      <c r="E82" s="12">
        <v>15000</v>
      </c>
      <c r="F82" s="12">
        <v>20000</v>
      </c>
      <c r="G82" s="12">
        <v>20000</v>
      </c>
      <c r="H82" s="12">
        <v>25000</v>
      </c>
      <c r="I82" s="12">
        <v>25000</v>
      </c>
      <c r="J82" s="12">
        <v>30000</v>
      </c>
      <c r="K82" s="12">
        <v>30000</v>
      </c>
      <c r="L82" s="12">
        <v>35000</v>
      </c>
      <c r="M82" s="12">
        <v>35000</v>
      </c>
      <c r="N82" s="12">
        <v>40000</v>
      </c>
      <c r="O82" s="12">
        <v>50000</v>
      </c>
    </row>
    <row r="83" spans="2:15" x14ac:dyDescent="0.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2:15" x14ac:dyDescent="0.3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2:15" x14ac:dyDescent="0.3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104" spans="18:24" x14ac:dyDescent="0.3">
      <c r="R104" s="31" t="s">
        <v>122</v>
      </c>
      <c r="S104" s="31"/>
      <c r="T104" s="31"/>
      <c r="U104" s="31"/>
      <c r="V104" s="31"/>
      <c r="W104" s="31"/>
      <c r="X104" s="32"/>
    </row>
    <row r="105" spans="18:24" x14ac:dyDescent="0.3">
      <c r="R105" s="31" t="s">
        <v>123</v>
      </c>
      <c r="S105" s="31"/>
      <c r="T105" s="31"/>
      <c r="U105" s="31"/>
      <c r="V105" s="31"/>
      <c r="W105" s="3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9A2D-824D-47A1-B370-78E9CDAE7B25}">
  <dimension ref="A1:R45"/>
  <sheetViews>
    <sheetView showGridLines="0" tabSelected="1" topLeftCell="F22" zoomScaleNormal="100" workbookViewId="0">
      <selection activeCell="M46" sqref="M46"/>
    </sheetView>
  </sheetViews>
  <sheetFormatPr defaultRowHeight="14.4" x14ac:dyDescent="0.3"/>
  <cols>
    <col min="1" max="1" width="2.77734375" customWidth="1"/>
    <col min="2" max="2" width="24.77734375" customWidth="1"/>
    <col min="4" max="15" width="15.77734375" style="20" customWidth="1"/>
  </cols>
  <sheetData>
    <row r="1" spans="1:15" x14ac:dyDescent="0.3">
      <c r="D1"/>
      <c r="E1"/>
      <c r="F1"/>
      <c r="G1"/>
      <c r="H1"/>
      <c r="I1"/>
      <c r="J1"/>
      <c r="K1"/>
      <c r="L1"/>
      <c r="M1"/>
      <c r="N1"/>
      <c r="O1"/>
    </row>
    <row r="2" spans="1:15" x14ac:dyDescent="0.3">
      <c r="A2" t="s">
        <v>121</v>
      </c>
      <c r="D2"/>
      <c r="E2"/>
      <c r="F2"/>
      <c r="G2"/>
      <c r="H2"/>
      <c r="I2"/>
      <c r="J2"/>
      <c r="K2"/>
      <c r="L2"/>
      <c r="M2"/>
      <c r="N2"/>
      <c r="O2"/>
    </row>
    <row r="3" spans="1:15" x14ac:dyDescent="0.3">
      <c r="D3"/>
      <c r="E3"/>
      <c r="F3"/>
      <c r="G3"/>
      <c r="H3"/>
      <c r="I3"/>
      <c r="J3"/>
      <c r="K3"/>
      <c r="L3"/>
      <c r="M3"/>
      <c r="N3"/>
      <c r="O3"/>
    </row>
    <row r="4" spans="1:15" x14ac:dyDescent="0.3">
      <c r="B4" s="22" t="s">
        <v>104</v>
      </c>
      <c r="C4" s="30"/>
      <c r="D4" s="22" t="s">
        <v>48</v>
      </c>
      <c r="E4" s="22" t="s">
        <v>105</v>
      </c>
      <c r="F4" s="22" t="s">
        <v>50</v>
      </c>
      <c r="G4" s="22" t="s">
        <v>51</v>
      </c>
      <c r="H4" s="22" t="s">
        <v>52</v>
      </c>
      <c r="I4" s="22" t="s">
        <v>53</v>
      </c>
      <c r="J4" s="22" t="s">
        <v>54</v>
      </c>
      <c r="K4" s="22" t="s">
        <v>55</v>
      </c>
      <c r="L4" s="22" t="s">
        <v>56</v>
      </c>
      <c r="M4" s="22" t="s">
        <v>57</v>
      </c>
      <c r="N4" s="22" t="s">
        <v>58</v>
      </c>
      <c r="O4" s="22" t="s">
        <v>59</v>
      </c>
    </row>
    <row r="5" spans="1:15" x14ac:dyDescent="0.3">
      <c r="B5" s="19" t="s">
        <v>33</v>
      </c>
      <c r="D5"/>
      <c r="E5"/>
      <c r="F5"/>
      <c r="G5"/>
      <c r="H5"/>
      <c r="I5"/>
      <c r="J5"/>
      <c r="K5"/>
      <c r="L5"/>
      <c r="M5"/>
      <c r="N5"/>
      <c r="O5"/>
    </row>
    <row r="6" spans="1:15" x14ac:dyDescent="0.3">
      <c r="D6"/>
      <c r="E6"/>
      <c r="F6"/>
      <c r="G6"/>
      <c r="H6"/>
      <c r="I6"/>
      <c r="J6"/>
      <c r="K6"/>
      <c r="L6"/>
      <c r="M6"/>
      <c r="N6"/>
      <c r="O6"/>
    </row>
    <row r="7" spans="1:15" x14ac:dyDescent="0.3">
      <c r="B7" t="s">
        <v>64</v>
      </c>
      <c r="D7" s="20" cm="1">
        <f t="array" ref="D7:O7">'Revenue Report'!D14:O14</f>
        <v>26250</v>
      </c>
      <c r="E7" s="20">
        <v>30312.5</v>
      </c>
      <c r="F7" s="20">
        <v>34828.125</v>
      </c>
      <c r="G7" s="20">
        <v>39819.53125</v>
      </c>
      <c r="H7" s="20">
        <v>45310.5078125</v>
      </c>
      <c r="I7" s="20">
        <v>51326.033203124993</v>
      </c>
      <c r="J7" s="20">
        <v>57892.334863281249</v>
      </c>
      <c r="K7" s="20">
        <v>65036.951606445313</v>
      </c>
      <c r="L7" s="20">
        <v>72788.799186767574</v>
      </c>
      <c r="M7" s="20">
        <v>81178.23914610596</v>
      </c>
      <c r="N7" s="20">
        <v>90237.151103411248</v>
      </c>
      <c r="O7" s="20">
        <v>99999.008658581806</v>
      </c>
    </row>
    <row r="8" spans="1:15" x14ac:dyDescent="0.3">
      <c r="B8" t="s">
        <v>106</v>
      </c>
      <c r="D8" s="20" cm="1">
        <f t="array" ref="D8:O8">'Revenue Report'!D28:O28</f>
        <v>21800</v>
      </c>
      <c r="E8" s="20">
        <v>24018</v>
      </c>
      <c r="F8" s="20">
        <v>26258.18</v>
      </c>
      <c r="G8" s="20">
        <v>29520.7618</v>
      </c>
      <c r="H8" s="20">
        <v>32815.969418000001</v>
      </c>
      <c r="I8" s="20">
        <v>36144.129112180002</v>
      </c>
      <c r="J8" s="20">
        <v>40505.570403301805</v>
      </c>
      <c r="K8" s="20">
        <v>44910.626107334821</v>
      </c>
      <c r="L8" s="20">
        <v>49359.732368408164</v>
      </c>
      <c r="M8" s="20">
        <v>54853.329692092251</v>
      </c>
      <c r="N8" s="20">
        <v>60401.862989013178</v>
      </c>
      <c r="O8" s="20">
        <v>66005.88161890331</v>
      </c>
    </row>
    <row r="9" spans="1:15" x14ac:dyDescent="0.3">
      <c r="B9" s="16" t="s">
        <v>107</v>
      </c>
      <c r="C9" s="15"/>
      <c r="D9" s="26">
        <f>SUM(D7:D8)</f>
        <v>48050</v>
      </c>
      <c r="E9" s="26">
        <f t="shared" ref="E9:O9" si="0">SUM(E7:E8)</f>
        <v>54330.5</v>
      </c>
      <c r="F9" s="26">
        <f t="shared" si="0"/>
        <v>61086.305</v>
      </c>
      <c r="G9" s="26">
        <f t="shared" si="0"/>
        <v>69340.293050000007</v>
      </c>
      <c r="H9" s="26">
        <f t="shared" si="0"/>
        <v>78126.477230499993</v>
      </c>
      <c r="I9" s="26">
        <f t="shared" si="0"/>
        <v>87470.162315305002</v>
      </c>
      <c r="J9" s="26">
        <f t="shared" si="0"/>
        <v>98397.905266583053</v>
      </c>
      <c r="K9" s="26">
        <f t="shared" si="0"/>
        <v>109947.57771378013</v>
      </c>
      <c r="L9" s="26">
        <f t="shared" si="0"/>
        <v>122148.53155517574</v>
      </c>
      <c r="M9" s="26">
        <f t="shared" si="0"/>
        <v>136031.5688381982</v>
      </c>
      <c r="N9" s="26">
        <f t="shared" si="0"/>
        <v>150639.01409242442</v>
      </c>
      <c r="O9" s="26">
        <f t="shared" si="0"/>
        <v>166004.89027748513</v>
      </c>
    </row>
    <row r="11" spans="1:15" x14ac:dyDescent="0.3">
      <c r="B11" s="19" t="s">
        <v>108</v>
      </c>
    </row>
    <row r="13" spans="1:15" x14ac:dyDescent="0.3">
      <c r="B13" t="s">
        <v>84</v>
      </c>
      <c r="D13" s="20" cm="1">
        <f t="array" ref="D13:O13">_xlfn.ANCHORARRAY('Revenue Report'!D54)</f>
        <v>2734</v>
      </c>
      <c r="E13" s="20">
        <v>3151.34</v>
      </c>
      <c r="F13" s="20">
        <v>3614.1034</v>
      </c>
      <c r="G13" s="20">
        <v>4129.5569340000002</v>
      </c>
      <c r="H13" s="20">
        <v>4695.1306283399999</v>
      </c>
      <c r="I13" s="20">
        <v>5313.3239658734001</v>
      </c>
      <c r="J13" s="20">
        <v>5991.7613383446333</v>
      </c>
      <c r="K13" s="20">
        <v>6728.2482911812058</v>
      </c>
      <c r="L13" s="20">
        <v>7525.6785805187983</v>
      </c>
      <c r="M13" s="20">
        <v>8392.0905630710567</v>
      </c>
      <c r="N13" s="20">
        <v>9325.724425286191</v>
      </c>
      <c r="O13" s="20">
        <v>10329.930273952697</v>
      </c>
    </row>
    <row r="14" spans="1:15" x14ac:dyDescent="0.3">
      <c r="B14" t="s">
        <v>109</v>
      </c>
      <c r="D14" s="20" cm="1">
        <f t="array" ref="D14:O14">_xlfn.ANCHORARRAY('Revenue Report'!D68)</f>
        <v>1441.5</v>
      </c>
      <c r="E14" s="20">
        <v>1629.915</v>
      </c>
      <c r="F14" s="20">
        <v>1832.58915</v>
      </c>
      <c r="G14" s="20">
        <v>2080.2087915000002</v>
      </c>
      <c r="H14" s="20">
        <v>2343.7943169149999</v>
      </c>
      <c r="I14" s="20">
        <v>2624.10486945915</v>
      </c>
      <c r="J14" s="20">
        <v>2951.9371579974913</v>
      </c>
      <c r="K14" s="20">
        <v>3298.4273314134039</v>
      </c>
      <c r="L14" s="20">
        <v>3664.4559466552719</v>
      </c>
      <c r="M14" s="20">
        <v>4080.947065145946</v>
      </c>
      <c r="N14" s="20">
        <v>4519.1704227727323</v>
      </c>
      <c r="O14" s="20">
        <v>4980.1467083245534</v>
      </c>
    </row>
    <row r="15" spans="1:15" x14ac:dyDescent="0.3">
      <c r="B15" t="s">
        <v>110</v>
      </c>
      <c r="D15" s="20" cm="1">
        <f t="array" ref="D15:O15">_xlfn.ANCHORARRAY('Revenue Report'!D73)</f>
        <v>218</v>
      </c>
      <c r="E15" s="20">
        <v>240.18</v>
      </c>
      <c r="F15" s="20">
        <v>262.58179999999999</v>
      </c>
      <c r="G15" s="20">
        <v>295.20761799999997</v>
      </c>
      <c r="H15" s="20">
        <v>328.15969418000003</v>
      </c>
      <c r="I15" s="20">
        <v>361.44129112180002</v>
      </c>
      <c r="J15" s="20">
        <v>405.05570403301806</v>
      </c>
      <c r="K15" s="20">
        <v>449.10626107334821</v>
      </c>
      <c r="L15" s="20">
        <v>493.59732368408169</v>
      </c>
      <c r="M15" s="20">
        <v>548.53329692092257</v>
      </c>
      <c r="N15" s="20">
        <v>604.01862989013171</v>
      </c>
      <c r="O15" s="20">
        <v>660.05881618903322</v>
      </c>
    </row>
    <row r="16" spans="1:15" x14ac:dyDescent="0.3">
      <c r="B16" s="16" t="s">
        <v>111</v>
      </c>
      <c r="C16" s="15"/>
      <c r="D16" s="26">
        <f>SUM(D13:D15)</f>
        <v>4393.5</v>
      </c>
      <c r="E16" s="26">
        <f t="shared" ref="E16:O16" si="1">SUM(E13:E15)</f>
        <v>5021.4350000000004</v>
      </c>
      <c r="F16" s="26">
        <f t="shared" si="1"/>
        <v>5709.2743499999997</v>
      </c>
      <c r="G16" s="26">
        <f t="shared" si="1"/>
        <v>6504.9733435000007</v>
      </c>
      <c r="H16" s="26">
        <f t="shared" si="1"/>
        <v>7367.0846394349992</v>
      </c>
      <c r="I16" s="26">
        <f t="shared" si="1"/>
        <v>8298.8701264543506</v>
      </c>
      <c r="J16" s="26">
        <f t="shared" si="1"/>
        <v>9348.7542003751423</v>
      </c>
      <c r="K16" s="26">
        <f t="shared" si="1"/>
        <v>10475.781883667958</v>
      </c>
      <c r="L16" s="26">
        <f t="shared" si="1"/>
        <v>11683.731850858152</v>
      </c>
      <c r="M16" s="26">
        <f t="shared" si="1"/>
        <v>13021.570925137927</v>
      </c>
      <c r="N16" s="26">
        <f t="shared" si="1"/>
        <v>14448.913477949056</v>
      </c>
      <c r="O16" s="26">
        <f t="shared" si="1"/>
        <v>15970.135798466285</v>
      </c>
    </row>
    <row r="18" spans="2:15" x14ac:dyDescent="0.3">
      <c r="B18" s="16" t="s">
        <v>112</v>
      </c>
      <c r="C18" s="15"/>
      <c r="D18" s="26">
        <f>D9-D16</f>
        <v>43656.5</v>
      </c>
      <c r="E18" s="26">
        <f t="shared" ref="E18:O18" si="2">E9-E16</f>
        <v>49309.065000000002</v>
      </c>
      <c r="F18" s="26">
        <f t="shared" si="2"/>
        <v>55377.030650000001</v>
      </c>
      <c r="G18" s="26">
        <f t="shared" si="2"/>
        <v>62835.319706500006</v>
      </c>
      <c r="H18" s="26">
        <f t="shared" si="2"/>
        <v>70759.392591065</v>
      </c>
      <c r="I18" s="26">
        <f t="shared" si="2"/>
        <v>79171.292188850653</v>
      </c>
      <c r="J18" s="26">
        <f t="shared" si="2"/>
        <v>89049.151066207909</v>
      </c>
      <c r="K18" s="26">
        <f t="shared" si="2"/>
        <v>99471.795830112183</v>
      </c>
      <c r="L18" s="26">
        <f t="shared" si="2"/>
        <v>110464.79970431759</v>
      </c>
      <c r="M18" s="26">
        <f t="shared" si="2"/>
        <v>123009.99791306027</v>
      </c>
      <c r="N18" s="26">
        <f t="shared" si="2"/>
        <v>136190.10061447538</v>
      </c>
      <c r="O18" s="26">
        <f t="shared" si="2"/>
        <v>150034.75447901885</v>
      </c>
    </row>
    <row r="19" spans="2:15" x14ac:dyDescent="0.3">
      <c r="B19" t="s">
        <v>113</v>
      </c>
      <c r="D19" s="21">
        <f>D18/D9</f>
        <v>0.90856399583766911</v>
      </c>
      <c r="E19" s="21">
        <f t="shared" ref="E19:O19" si="3">E18/E9</f>
        <v>0.90757613127064918</v>
      </c>
      <c r="F19" s="21">
        <f t="shared" si="3"/>
        <v>0.90653757253773981</v>
      </c>
      <c r="G19" s="21">
        <f t="shared" si="3"/>
        <v>0.90618768601382482</v>
      </c>
      <c r="H19" s="21">
        <f t="shared" si="3"/>
        <v>0.90570309963292528</v>
      </c>
      <c r="I19" s="21">
        <f t="shared" si="3"/>
        <v>0.90512341686826547</v>
      </c>
      <c r="J19" s="21">
        <f t="shared" si="3"/>
        <v>0.90499031280140396</v>
      </c>
      <c r="K19" s="21">
        <f t="shared" si="3"/>
        <v>0.90472021210927522</v>
      </c>
      <c r="L19" s="21">
        <f t="shared" si="3"/>
        <v>0.9043481595553976</v>
      </c>
      <c r="M19" s="21">
        <f t="shared" si="3"/>
        <v>0.90427537492693078</v>
      </c>
      <c r="N19" s="21">
        <f t="shared" si="3"/>
        <v>0.90408252759086749</v>
      </c>
      <c r="O19" s="21">
        <f t="shared" si="3"/>
        <v>0.9037971967466053</v>
      </c>
    </row>
    <row r="21" spans="2:15" x14ac:dyDescent="0.3">
      <c r="B21" s="19" t="s">
        <v>114</v>
      </c>
    </row>
    <row r="22" spans="2:15" x14ac:dyDescent="0.3">
      <c r="B22" t="s">
        <v>115</v>
      </c>
      <c r="D22" s="20" cm="1">
        <f t="array" ref="D22:O22">'Revenue Report'!D46:O46</f>
        <v>50000</v>
      </c>
      <c r="E22" s="20">
        <v>50000</v>
      </c>
      <c r="F22" s="20">
        <v>60000</v>
      </c>
      <c r="G22" s="20">
        <v>60000</v>
      </c>
      <c r="H22" s="20">
        <v>70000</v>
      </c>
      <c r="I22" s="20">
        <v>70000</v>
      </c>
      <c r="J22" s="20">
        <v>80000</v>
      </c>
      <c r="K22" s="20">
        <v>80000</v>
      </c>
      <c r="L22" s="20">
        <v>90000</v>
      </c>
      <c r="M22" s="20">
        <v>90000</v>
      </c>
      <c r="N22" s="20">
        <v>100000</v>
      </c>
      <c r="O22" s="20">
        <v>100000</v>
      </c>
    </row>
    <row r="23" spans="2:15" x14ac:dyDescent="0.3">
      <c r="B23" t="s">
        <v>116</v>
      </c>
      <c r="D23" s="20" cm="1">
        <f t="array" ref="D23:O23">'Revenue Report'!D49:O49</f>
        <v>12000</v>
      </c>
      <c r="E23" s="20">
        <v>12000</v>
      </c>
      <c r="F23" s="20">
        <v>12000</v>
      </c>
      <c r="G23" s="20">
        <v>18000</v>
      </c>
      <c r="H23" s="20">
        <v>18000</v>
      </c>
      <c r="I23" s="20">
        <v>18000</v>
      </c>
      <c r="J23" s="20">
        <v>24000</v>
      </c>
      <c r="K23" s="20">
        <v>24000</v>
      </c>
      <c r="L23" s="20">
        <v>24000</v>
      </c>
      <c r="M23" s="20">
        <v>30000</v>
      </c>
      <c r="N23" s="20">
        <v>30000</v>
      </c>
      <c r="O23" s="20">
        <v>30000</v>
      </c>
    </row>
    <row r="24" spans="2:15" x14ac:dyDescent="0.3">
      <c r="B24" t="s">
        <v>117</v>
      </c>
      <c r="D24" s="20" cm="1">
        <f t="array" ref="D24:O24">'Revenue Report'!D52:O52</f>
        <v>16000</v>
      </c>
      <c r="E24" s="20">
        <v>16000</v>
      </c>
      <c r="F24" s="20">
        <v>16000</v>
      </c>
      <c r="G24" s="20">
        <v>16000</v>
      </c>
      <c r="H24" s="20">
        <v>16000</v>
      </c>
      <c r="I24" s="20">
        <v>16000</v>
      </c>
      <c r="J24" s="20">
        <v>16000</v>
      </c>
      <c r="K24" s="20">
        <v>16000</v>
      </c>
      <c r="L24" s="20">
        <v>16000</v>
      </c>
      <c r="M24" s="20">
        <v>16000</v>
      </c>
      <c r="N24" s="20">
        <v>16000</v>
      </c>
      <c r="O24" s="20">
        <v>16000</v>
      </c>
    </row>
    <row r="25" spans="2:15" x14ac:dyDescent="0.3">
      <c r="B25" t="s">
        <v>118</v>
      </c>
      <c r="D25" s="20" cm="1">
        <f t="array" ref="D25:O25">_xlfn.ANCHORARRAY('Revenue Report'!D78)</f>
        <v>18000</v>
      </c>
      <c r="E25" s="20">
        <v>18000</v>
      </c>
      <c r="F25" s="20">
        <v>20000</v>
      </c>
      <c r="G25" s="20">
        <v>22000</v>
      </c>
      <c r="H25" s="20">
        <v>24000</v>
      </c>
      <c r="I25" s="20">
        <v>24000</v>
      </c>
      <c r="J25" s="20">
        <v>28000</v>
      </c>
      <c r="K25" s="20">
        <v>28000</v>
      </c>
      <c r="L25" s="20">
        <v>30000</v>
      </c>
      <c r="M25" s="20">
        <v>32000</v>
      </c>
      <c r="N25" s="20">
        <v>34000</v>
      </c>
      <c r="O25" s="20">
        <v>34000</v>
      </c>
    </row>
    <row r="26" spans="2:15" x14ac:dyDescent="0.3">
      <c r="B26" t="s">
        <v>9</v>
      </c>
      <c r="D26" s="20" cm="1">
        <f t="array" ref="D26:O26">'Revenue Report'!D82:O82</f>
        <v>15000</v>
      </c>
      <c r="E26" s="20">
        <v>15000</v>
      </c>
      <c r="F26" s="20">
        <v>20000</v>
      </c>
      <c r="G26" s="20">
        <v>20000</v>
      </c>
      <c r="H26" s="20">
        <v>25000</v>
      </c>
      <c r="I26" s="20">
        <v>25000</v>
      </c>
      <c r="J26" s="20">
        <v>30000</v>
      </c>
      <c r="K26" s="20">
        <v>30000</v>
      </c>
      <c r="L26" s="20">
        <v>35000</v>
      </c>
      <c r="M26" s="20">
        <v>35000</v>
      </c>
      <c r="N26" s="20">
        <v>40000</v>
      </c>
      <c r="O26" s="20">
        <v>50000</v>
      </c>
    </row>
    <row r="27" spans="2:15" x14ac:dyDescent="0.3">
      <c r="B27" s="16" t="s">
        <v>119</v>
      </c>
      <c r="C27" s="15"/>
      <c r="D27" s="26">
        <f>SUM(D22:D26)</f>
        <v>111000</v>
      </c>
      <c r="E27" s="26">
        <f t="shared" ref="E27:O27" si="4">SUM(E22:E26)</f>
        <v>111000</v>
      </c>
      <c r="F27" s="26">
        <f t="shared" si="4"/>
        <v>128000</v>
      </c>
      <c r="G27" s="26">
        <f t="shared" si="4"/>
        <v>136000</v>
      </c>
      <c r="H27" s="26">
        <f t="shared" si="4"/>
        <v>153000</v>
      </c>
      <c r="I27" s="26">
        <f t="shared" si="4"/>
        <v>153000</v>
      </c>
      <c r="J27" s="26">
        <f t="shared" si="4"/>
        <v>178000</v>
      </c>
      <c r="K27" s="26">
        <f t="shared" si="4"/>
        <v>178000</v>
      </c>
      <c r="L27" s="26">
        <f t="shared" si="4"/>
        <v>195000</v>
      </c>
      <c r="M27" s="26">
        <f t="shared" si="4"/>
        <v>203000</v>
      </c>
      <c r="N27" s="26">
        <f t="shared" si="4"/>
        <v>220000</v>
      </c>
      <c r="O27" s="26">
        <f t="shared" si="4"/>
        <v>230000</v>
      </c>
    </row>
    <row r="29" spans="2:15" ht="15" thickBot="1" x14ac:dyDescent="0.35">
      <c r="B29" s="23" t="s">
        <v>120</v>
      </c>
      <c r="C29" s="24"/>
      <c r="D29" s="25">
        <f>D18-D27</f>
        <v>-67343.5</v>
      </c>
      <c r="E29" s="25">
        <f t="shared" ref="E29:O29" si="5">E18-E27</f>
        <v>-61690.934999999998</v>
      </c>
      <c r="F29" s="25">
        <f t="shared" si="5"/>
        <v>-72622.969349999999</v>
      </c>
      <c r="G29" s="25">
        <f t="shared" si="5"/>
        <v>-73164.680293499987</v>
      </c>
      <c r="H29" s="25">
        <f t="shared" si="5"/>
        <v>-82240.607408935</v>
      </c>
      <c r="I29" s="25">
        <f t="shared" si="5"/>
        <v>-73828.707811149347</v>
      </c>
      <c r="J29" s="25">
        <f t="shared" si="5"/>
        <v>-88950.848933792091</v>
      </c>
      <c r="K29" s="25">
        <f t="shared" si="5"/>
        <v>-78528.204169887817</v>
      </c>
      <c r="L29" s="25">
        <f t="shared" si="5"/>
        <v>-84535.200295682414</v>
      </c>
      <c r="M29" s="25">
        <f t="shared" si="5"/>
        <v>-79990.002086939727</v>
      </c>
      <c r="N29" s="25">
        <f t="shared" si="5"/>
        <v>-83809.899385524623</v>
      </c>
      <c r="O29" s="25">
        <f t="shared" si="5"/>
        <v>-79965.245520981145</v>
      </c>
    </row>
    <row r="30" spans="2:15" ht="15" thickTop="1" x14ac:dyDescent="0.3"/>
    <row r="42" spans="13:18" x14ac:dyDescent="0.3">
      <c r="M42"/>
      <c r="N42"/>
      <c r="O42"/>
    </row>
    <row r="43" spans="13:18" x14ac:dyDescent="0.3">
      <c r="M43" s="31" t="s">
        <v>122</v>
      </c>
      <c r="N43" s="31"/>
      <c r="O43" s="31"/>
      <c r="P43" s="31"/>
      <c r="Q43" s="31"/>
      <c r="R43" s="31"/>
    </row>
    <row r="44" spans="13:18" x14ac:dyDescent="0.3">
      <c r="M44" s="31" t="s">
        <v>123</v>
      </c>
      <c r="N44" s="31"/>
      <c r="O44" s="31"/>
      <c r="P44" s="31"/>
      <c r="Q44" s="31"/>
      <c r="R44" s="31"/>
    </row>
    <row r="45" spans="13:18" x14ac:dyDescent="0.3">
      <c r="M45"/>
      <c r="N45"/>
      <c r="O4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BvA report</vt:lpstr>
      <vt:lpstr>Sales (ROI)</vt:lpstr>
      <vt:lpstr>Revenue Report</vt:lpstr>
      <vt:lpstr>Financial 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Vishwaradhya Shreegurumath</dc:creator>
  <cp:lastModifiedBy>Vishwaradhya Shreegurumath</cp:lastModifiedBy>
  <dcterms:created xsi:type="dcterms:W3CDTF">2025-11-27T10:20:40Z</dcterms:created>
  <dcterms:modified xsi:type="dcterms:W3CDTF">2025-12-03T02:31:36Z</dcterms:modified>
</cp:coreProperties>
</file>